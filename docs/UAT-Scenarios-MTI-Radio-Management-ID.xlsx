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Info Pengujian" sheetId="2" state="visible" r:id="rId2"/>
    <sheet xmlns:r="http://schemas.openxmlformats.org/officeDocument/2006/relationships" name="Skenario" sheetId="3" state="visible" r:id="rId3"/>
    <sheet xmlns:r="http://schemas.openxmlformats.org/officeDocument/2006/relationships" name="Temuan" sheetId="4" state="visible" r:id="rId4"/>
    <sheet xmlns:r="http://schemas.openxmlformats.org/officeDocument/2006/relationships" name="Ringkasan" sheetId="5" state="visible" r:id="rId5"/>
    <sheet xmlns:r="http://schemas.openxmlformats.org/officeDocument/2006/relationships" name="Persetujuan" sheetId="6" state="visible" r:id="rId6"/>
  </sheets>
  <definedNames>
    <definedName name="_xlnm._FilterDatabase" localSheetId="2" hidden="1">'Skenario'!$A$1:$J$119</definedName>
    <definedName name="_xlnm.Print_Titles" localSheetId="2">'Skenario'!$1:$1</definedName>
    <definedName name="_xlnm._FilterDatabase" localSheetId="3" hidden="1">'Temuan'!$A$1:$I$51</definedName>
    <definedName name="_xlnm.Print_Titles" localSheetId="3">'Temuan'!$1:$1</definedName>
  </definedNames>
  <calcPr calcId="124519" fullCalcOnLoad="1"/>
</workbook>
</file>

<file path=xl/styles.xml><?xml version="1.0" encoding="utf-8"?>
<styleSheet xmlns="http://schemas.openxmlformats.org/spreadsheetml/2006/main">
  <numFmts count="1">
    <numFmt numFmtId="164" formatCode="DD-MM-YYYY"/>
  </numFmts>
  <fonts count="4">
    <font>
      <name val="Calibri"/>
      <family val="2"/>
      <color theme="1"/>
      <sz val="11"/>
      <scheme val="minor"/>
    </font>
    <font>
      <b val="1"/>
      <color rgb="001F2328"/>
      <sz val="14"/>
    </font>
    <font>
      <b val="1"/>
    </font>
    <font>
      <b val="1"/>
      <sz val="12"/>
    </font>
  </fonts>
  <fills count="4">
    <fill>
      <patternFill/>
    </fill>
    <fill>
      <patternFill patternType="gray125"/>
    </fill>
    <fill>
      <patternFill patternType="solid">
        <fgColor rgb="00FFF8E6"/>
      </patternFill>
    </fill>
    <fill>
      <patternFill patternType="solid">
        <fgColor rgb="00F3F5F8"/>
      </patternFill>
    </fill>
  </fills>
  <borders count="7">
    <border>
      <left/>
      <right/>
      <top/>
      <bottom/>
      <diagonal/>
    </border>
    <border>
      <left style="thin">
        <color rgb="00C9D0D8"/>
      </left>
      <right style="thin">
        <color rgb="00C9D0D8"/>
      </right>
      <top style="thin">
        <color rgb="00C9D0D8"/>
      </top>
      <bottom style="thin">
        <color rgb="00C9D0D8"/>
      </bottom>
    </border>
    <border>
      <left/>
      <right/>
      <top style="thin">
        <color rgb="00C9D0D8"/>
      </top>
      <bottom/>
      <diagonal/>
    </border>
    <border>
      <left/>
      <right style="thin">
        <color rgb="00C9D0D8"/>
      </right>
      <top style="thin">
        <color rgb="00C9D0D8"/>
      </top>
      <bottom/>
      <diagonal/>
    </border>
    <border>
      <left/>
      <right/>
      <top style="thin">
        <color rgb="00C9D0D8"/>
      </top>
      <bottom style="thin">
        <color rgb="00C9D0D8"/>
      </bottom>
      <diagonal/>
    </border>
    <border>
      <left/>
      <right style="thin">
        <color rgb="00C9D0D8"/>
      </right>
      <top style="thin">
        <color rgb="00C9D0D8"/>
      </top>
      <bottom style="thin">
        <color rgb="00C9D0D8"/>
      </bottom>
      <diagonal/>
    </border>
    <border>
      <bottom style="thin">
        <color rgb="00C9D0D8"/>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xf>
    <xf numFmtId="0" fontId="2" fillId="0" borderId="1" pivotButton="0" quotePrefix="0" xfId="0"/>
    <xf numFmtId="0" fontId="0" fillId="0" borderId="1" applyAlignment="1" pivotButton="0" quotePrefix="0" xfId="0">
      <alignment vertical="top" wrapText="1"/>
    </xf>
    <xf numFmtId="0" fontId="0" fillId="2" borderId="0" applyAlignment="1" pivotButton="0" quotePrefix="0" xfId="0">
      <alignment vertical="top" wrapText="1"/>
    </xf>
    <xf numFmtId="0" fontId="2" fillId="3" borderId="1" pivotButton="0" quotePrefix="0" xfId="0"/>
    <xf numFmtId="0" fontId="0" fillId="0" borderId="1" pivotButton="0" quotePrefix="0" xfId="0"/>
    <xf numFmtId="0" fontId="2" fillId="3"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horizontal="center" vertical="top" wrapText="1"/>
    </xf>
    <xf numFmtId="164" fontId="0" fillId="0" borderId="1" applyAlignment="1" pivotButton="0" quotePrefix="0" xfId="0">
      <alignment vertical="top" wrapText="1"/>
    </xf>
    <xf numFmtId="9" fontId="0" fillId="0" borderId="1" pivotButton="0" quotePrefix="0" xfId="0"/>
    <xf numFmtId="9" fontId="2" fillId="3" borderId="1" pivotButton="0" quotePrefix="0" xfId="0"/>
    <xf numFmtId="0" fontId="0" fillId="0" borderId="4" pivotButton="0" quotePrefix="0" xfId="0"/>
    <xf numFmtId="0" fontId="0" fillId="0" borderId="5" pivotButton="0" quotePrefix="0" xfId="0"/>
    <xf numFmtId="0" fontId="3" fillId="0" borderId="0" pivotButton="0" quotePrefix="0" xfId="0"/>
    <xf numFmtId="0" fontId="0" fillId="0" borderId="6" pivotButton="0" quotePrefix="0" xfId="0"/>
  </cellXfs>
  <cellStyles count="1">
    <cellStyle name="Normal" xfId="0" builtinId="0" hidden="0"/>
  </cellStyles>
  <dxfs count="3">
    <dxf>
      <fill>
        <patternFill patternType="solid">
          <fgColor rgb="00D1FAE5"/>
        </patternFill>
      </fill>
    </dxf>
    <dxf>
      <fill>
        <patternFill patternType="solid">
          <fgColor rgb="00FEE2E2"/>
        </patternFill>
      </fill>
    </dxf>
    <dxf>
      <fill>
        <patternFill patternType="solid">
          <f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2"/>
  <sheetViews>
    <sheetView workbookViewId="0">
      <selection activeCell="A1" sqref="A1"/>
    </sheetView>
  </sheetViews>
  <sheetFormatPr baseColWidth="8" defaultRowHeight="15"/>
  <cols>
    <col width="22" customWidth="1" min="1" max="1"/>
    <col width="110" customWidth="1" min="2" max="2"/>
  </cols>
  <sheetData>
    <row r="1">
      <c r="A1" s="1" t="inlineStr">
        <is>
          <t>Form UAT MTI Radio Management</t>
        </is>
      </c>
    </row>
    <row r="2">
      <c r="A2" t="inlineStr">
        <is>
          <t>Versi aplikasi: 1.21.4 · Tanggal: 21 Oktober 2026 · 118 skenario</t>
        </is>
      </c>
    </row>
    <row r="4">
      <c r="A4" s="2" t="inlineStr">
        <is>
          <t>Petunjuk pengisian</t>
        </is>
      </c>
    </row>
    <row r="5" ht="30" customHeight="1">
      <c r="A5" s="3" t="inlineStr">
        <is>
          <t>Form ini memeriksa bahwa MTI Radio Management bekerja seperti yang diharapkan penggunanya. Setiap skenario menyebut peran akun yang dipakai, langkah-langkahnya, dan hasil yang diharapkan.</t>
        </is>
      </c>
    </row>
    <row r="6">
      <c r="A6" s="4" t="inlineStr">
        <is>
          <t>1.</t>
        </is>
      </c>
      <c r="B6" s="3" t="inlineStr">
        <is>
          <t>Pastikan nomor versi di footer aplikasi sama dengan versi di sampul form ini.</t>
        </is>
      </c>
    </row>
    <row r="7">
      <c r="A7" s="4" t="inlineStr">
        <is>
          <t>2.</t>
        </is>
      </c>
      <c r="B7" s="3" t="inlineStr">
        <is>
          <t>Jalankan skenario menurut urutan bagian. Beberapa skenario memakai hasil skenario sebelumnya; ID-nya disebut di langkahnya.</t>
        </is>
      </c>
    </row>
    <row r="8">
      <c r="A8" s="4" t="inlineStr">
        <is>
          <t>3.</t>
        </is>
      </c>
      <c r="B8" s="3" t="inlineStr">
        <is>
          <t>Masuk dengan akun peran yang tertulis di kolom Peran (Semua: akun apa pun yang boleh membuka menunya).</t>
        </is>
      </c>
    </row>
    <row r="9">
      <c r="A9" s="4" t="inlineStr">
        <is>
          <t>4.</t>
        </is>
      </c>
      <c r="B9" s="3" t="inlineStr">
        <is>
          <t>Bandingkan yang terjadi dengan kolom Hasil yang diharapkan, lalu centang satu kotak di kolom Hasil.</t>
        </is>
      </c>
    </row>
    <row r="10">
      <c r="A10" s="4" t="inlineStr">
        <is>
          <t>5.</t>
        </is>
      </c>
      <c r="B10" s="3" t="inlineStr">
        <is>
          <t>Untuk setiap Gagal, tulis apa yang terjadi di kolom Catatan dan di Daftar temuan, dengan ID skenarionya.</t>
        </is>
      </c>
    </row>
    <row r="11">
      <c r="A11" s="4" t="inlineStr">
        <is>
          <t>6.</t>
        </is>
      </c>
      <c r="B11" s="3" t="inlineStr">
        <is>
          <t>Setelah semua bagian selesai, isi Ringkasan hasil, lalu tanda tangani Lembar persetujuan.</t>
        </is>
      </c>
    </row>
    <row r="12">
      <c r="A12" s="4" t="inlineStr">
        <is>
          <t>7.</t>
        </is>
      </c>
      <c r="B12" s="3" t="inlineStr">
        <is>
          <t>Di file Excel ini: pilih Status dari daftar (Lulus, Gagal, N/A); sheet Ringkasan menghitungnya sendiri per bagian.</t>
        </is>
      </c>
    </row>
    <row r="14">
      <c r="A14" s="2" t="inlineStr">
        <is>
          <t>Arti kolom Hasil</t>
        </is>
      </c>
    </row>
    <row r="15">
      <c r="A15" s="5" t="inlineStr">
        <is>
          <t>Lulus</t>
        </is>
      </c>
      <c r="B15" s="6" t="inlineStr">
        <is>
          <t>Yang terjadi sama dengan hasil yang diharapkan.</t>
        </is>
      </c>
    </row>
    <row r="16">
      <c r="A16" s="5" t="inlineStr">
        <is>
          <t>Gagal</t>
        </is>
      </c>
      <c r="B16" s="6" t="inlineStr">
        <is>
          <t>Yang terjadi berbeda. Tulis yang terjadi di Catatan dan catat di Daftar temuan.</t>
        </is>
      </c>
    </row>
    <row r="17">
      <c r="A17" s="5" t="inlineStr">
        <is>
          <t>N/A</t>
        </is>
      </c>
      <c r="B17" s="6" t="inlineStr">
        <is>
          <t>Tidak berlaku atau tidak bisa diuji di lingkungan ini. Tulis alasannya di Catatan.</t>
        </is>
      </c>
    </row>
    <row r="19">
      <c r="A19" s="2" t="inlineStr">
        <is>
          <t>Tingkat temuan</t>
        </is>
      </c>
    </row>
    <row r="20">
      <c r="A20" s="5" t="inlineStr">
        <is>
          <t>Kritis</t>
        </is>
      </c>
      <c r="B20" s="6" t="inlineStr">
        <is>
          <t>Aplikasi tidak bisa dipakai, data rusak atau hilang, atau masalah keamanan.</t>
        </is>
      </c>
    </row>
    <row r="21">
      <c r="A21" s="5" t="inlineStr">
        <is>
          <t>Tinggi</t>
        </is>
      </c>
      <c r="B21" s="6" t="inlineStr">
        <is>
          <t>Fungsi utama gagal dan tidak ada jalan lain.</t>
        </is>
      </c>
    </row>
    <row r="22">
      <c r="A22" s="5" t="inlineStr">
        <is>
          <t>Sedang</t>
        </is>
      </c>
      <c r="B22" s="6" t="inlineStr">
        <is>
          <t>Fungsi gagal, tetapi ada jalan lain untuk menyelesaikan pekerjaannya.</t>
        </is>
      </c>
    </row>
    <row r="23">
      <c r="A23" s="5" t="inlineStr">
        <is>
          <t>Rendah</t>
        </is>
      </c>
      <c r="B23" s="6" t="inlineStr">
        <is>
          <t>Tampilan, teks atau kenyamanan; pekerjaan tetap bisa diselesaikan.</t>
        </is>
      </c>
    </row>
    <row r="25">
      <c r="A25" s="2" t="inlineStr">
        <is>
          <t>Kode peran</t>
        </is>
      </c>
    </row>
    <row r="26">
      <c r="A26" s="5" t="inlineStr">
        <is>
          <t>SA</t>
        </is>
      </c>
      <c r="B26" s="6" t="inlineStr">
        <is>
          <t>Super Admin</t>
        </is>
      </c>
    </row>
    <row r="27">
      <c r="A27" s="5" t="inlineStr">
        <is>
          <t>AR</t>
        </is>
      </c>
      <c r="B27" s="6" t="inlineStr">
        <is>
          <t>Admin Radio</t>
        </is>
      </c>
    </row>
    <row r="28">
      <c r="A28" s="5" t="inlineStr">
        <is>
          <t>VR</t>
        </is>
      </c>
      <c r="B28" s="6" t="inlineStr">
        <is>
          <t>Viewer Radio</t>
        </is>
      </c>
    </row>
    <row r="29">
      <c r="A29" s="5" t="inlineStr">
        <is>
          <t>DC</t>
        </is>
      </c>
      <c r="B29" s="6" t="inlineStr">
        <is>
          <t>Document Controller</t>
        </is>
      </c>
    </row>
    <row r="30">
      <c r="A30" s="5" t="inlineStr">
        <is>
          <t>Semua</t>
        </is>
      </c>
      <c r="B30" s="6" t="inlineStr">
        <is>
          <t>akun apa pun yang boleh membuka menunya</t>
        </is>
      </c>
    </row>
    <row r="32" ht="46" customHeight="1">
      <c r="A32" s="7" t="inlineStr">
        <is>
          <t>Data: pakai radio, akun dan baris uji. Impor dengan hapus data lama hanya di salinan uji. Skenario yang menulis ke ICT Masterlist mengubah workbook di SharePoint: pakai baris yang disepakati dengan pemilik data. Kembalikan data setelah pengujian, dan jangan menulis kata sandi atau token di form ini.</t>
        </is>
      </c>
    </row>
  </sheetData>
  <mergeCells count="2">
    <mergeCell ref="A32:B32"/>
    <mergeCell ref="A5:B5"/>
  </mergeCells>
  <pageMargins left="0.4" right="0.4" top="0.5" bottom="0.5" header="0.5" footer="0.5"/>
  <pageSetup orientation="landscape" paperSize="9" fitToHeight="0" fitToWidth="1"/>
  <headerFooter>
    <oddHeader/>
    <oddFooter>&amp;LForm UAT MTI Radio Management · versi 1.21.4&amp;RHalaman &amp;P dari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8"/>
  <sheetViews>
    <sheetView workbookViewId="0">
      <selection activeCell="A1" sqref="A1"/>
    </sheetView>
  </sheetViews>
  <sheetFormatPr baseColWidth="8" defaultRowHeight="15"/>
  <cols>
    <col width="30" customWidth="1" min="1" max="1"/>
    <col width="28" customWidth="1" min="2" max="2"/>
    <col width="28" customWidth="1" min="3" max="3"/>
    <col width="28" customWidth="1" min="4" max="4"/>
    <col width="28" customWidth="1" min="5" max="5"/>
  </cols>
  <sheetData>
    <row r="1">
      <c r="A1" s="1" t="inlineStr">
        <is>
          <t>Informasi pengujian</t>
        </is>
      </c>
    </row>
    <row r="3">
      <c r="A3" s="8" t="inlineStr">
        <is>
          <t>Aplikasi</t>
        </is>
      </c>
      <c r="B3" s="9" t="inlineStr">
        <is>
          <t>MTI Radio Management</t>
        </is>
      </c>
      <c r="C3" s="9" t="n"/>
      <c r="D3" s="9" t="n"/>
      <c r="E3" s="9" t="n"/>
    </row>
    <row r="4">
      <c r="A4" s="8" t="inlineStr">
        <is>
          <t>Versi yang diuji</t>
        </is>
      </c>
      <c r="B4" s="9" t="inlineStr">
        <is>
          <t>1.21.4 (cocokkan dengan nomor versi di footer aplikasi)</t>
        </is>
      </c>
      <c r="C4" s="9" t="n"/>
      <c r="D4" s="9" t="n"/>
      <c r="E4" s="9" t="n"/>
    </row>
    <row r="5">
      <c r="A5" s="8" t="inlineStr">
        <is>
          <t>Lingkungan</t>
        </is>
      </c>
      <c r="B5" s="9" t="inlineStr">
        <is>
          <t>Salinan uji (UAT) / Production (pilih salah satu)</t>
        </is>
      </c>
      <c r="C5" s="9" t="n"/>
      <c r="D5" s="9" t="n"/>
      <c r="E5" s="9" t="n"/>
    </row>
    <row r="6">
      <c r="A6" s="8" t="inlineStr">
        <is>
          <t>Alamat aplikasi (URL)</t>
        </is>
      </c>
      <c r="B6" s="9" t="n"/>
      <c r="C6" s="9" t="n"/>
      <c r="D6" s="9" t="n"/>
      <c r="E6" s="9" t="n"/>
    </row>
    <row r="7">
      <c r="A7" s="8" t="inlineStr">
        <is>
          <t>Browser dan versinya</t>
        </is>
      </c>
      <c r="B7" s="9" t="n"/>
      <c r="C7" s="9" t="n"/>
      <c r="D7" s="9" t="n"/>
      <c r="E7" s="9" t="n"/>
    </row>
    <row r="8">
      <c r="A8" s="8" t="inlineStr">
        <is>
          <t>Ponsel untuk Stock Opname</t>
        </is>
      </c>
      <c r="B8" s="9" t="n"/>
      <c r="C8" s="9" t="n"/>
      <c r="D8" s="9" t="n"/>
      <c r="E8" s="9" t="n"/>
    </row>
    <row r="9">
      <c r="A9" s="8" t="inlineStr">
        <is>
          <t>Tanggal mulai / selesai</t>
        </is>
      </c>
      <c r="B9" s="9" t="n"/>
      <c r="C9" s="9" t="n"/>
      <c r="D9" s="9" t="n"/>
      <c r="E9" s="9" t="n"/>
    </row>
    <row r="10">
      <c r="A10" s="8" t="inlineStr">
        <is>
          <t>Lokasi pengujian</t>
        </is>
      </c>
      <c r="B10" s="9" t="n"/>
      <c r="C10" s="9" t="n"/>
      <c r="D10" s="9" t="n"/>
      <c r="E10" s="9" t="n"/>
    </row>
    <row r="12">
      <c r="A12" s="2" t="inlineStr">
        <is>
          <t>Penguji</t>
        </is>
      </c>
    </row>
    <row r="13">
      <c r="A13" s="10" t="inlineStr">
        <is>
          <t>No</t>
        </is>
      </c>
      <c r="B13" s="10" t="inlineStr">
        <is>
          <t>Nama</t>
        </is>
      </c>
      <c r="C13" s="10" t="inlineStr">
        <is>
          <t>Jabatan / Department</t>
        </is>
      </c>
      <c r="D13" s="10" t="inlineStr">
        <is>
          <t>Peran yang diuji</t>
        </is>
      </c>
      <c r="E13" s="10" t="inlineStr">
        <is>
          <t>Paraf</t>
        </is>
      </c>
    </row>
    <row r="14">
      <c r="A14" s="9" t="n">
        <v>1</v>
      </c>
      <c r="B14" s="9" t="n"/>
      <c r="C14" s="9" t="n"/>
      <c r="D14" s="9" t="n"/>
      <c r="E14" s="9" t="n"/>
    </row>
    <row r="15">
      <c r="A15" s="9" t="n">
        <v>2</v>
      </c>
      <c r="B15" s="9" t="n"/>
      <c r="C15" s="9" t="n"/>
      <c r="D15" s="9" t="n"/>
      <c r="E15" s="9" t="n"/>
    </row>
    <row r="16">
      <c r="A16" s="9" t="n">
        <v>3</v>
      </c>
      <c r="B16" s="9" t="n"/>
      <c r="C16" s="9" t="n"/>
      <c r="D16" s="9" t="n"/>
      <c r="E16" s="9" t="n"/>
    </row>
    <row r="17">
      <c r="A17" s="9" t="n">
        <v>4</v>
      </c>
      <c r="B17" s="9" t="n"/>
      <c r="C17" s="9" t="n"/>
      <c r="D17" s="9" t="n"/>
      <c r="E17" s="9" t="n"/>
    </row>
    <row r="18">
      <c r="A18" s="9" t="n">
        <v>5</v>
      </c>
      <c r="B18" s="9" t="n"/>
      <c r="C18" s="9" t="n"/>
      <c r="D18" s="9" t="n"/>
      <c r="E18" s="9" t="n"/>
    </row>
    <row r="19">
      <c r="A19" s="9" t="n">
        <v>6</v>
      </c>
      <c r="B19" s="9" t="n"/>
      <c r="C19" s="9" t="n"/>
      <c r="D19" s="9" t="n"/>
      <c r="E19" s="9" t="n"/>
    </row>
    <row r="20">
      <c r="A20" s="9" t="n">
        <v>7</v>
      </c>
      <c r="B20" s="9" t="n"/>
      <c r="C20" s="9" t="n"/>
      <c r="D20" s="9" t="n"/>
      <c r="E20" s="9" t="n"/>
    </row>
    <row r="21">
      <c r="A21" s="9" t="n">
        <v>8</v>
      </c>
      <c r="B21" s="9" t="n"/>
      <c r="C21" s="9" t="n"/>
      <c r="D21" s="9" t="n"/>
      <c r="E21" s="9" t="n"/>
    </row>
    <row r="23">
      <c r="A23" s="2" t="inlineStr">
        <is>
          <t>Akun uji per peran</t>
        </is>
      </c>
    </row>
    <row r="24">
      <c r="A24" s="10" t="inlineStr">
        <is>
          <t>Peran</t>
        </is>
      </c>
      <c r="B24" s="10" t="inlineStr">
        <is>
          <t>Akun (e-mail / username)</t>
        </is>
      </c>
      <c r="C24" s="10" t="inlineStr">
        <is>
          <t>Dipakai oleh</t>
        </is>
      </c>
    </row>
    <row r="25">
      <c r="A25" s="9" t="inlineStr">
        <is>
          <t>SA · Super Admin</t>
        </is>
      </c>
      <c r="B25" s="9" t="n"/>
      <c r="C25" s="9" t="n"/>
    </row>
    <row r="26">
      <c r="A26" s="9" t="inlineStr">
        <is>
          <t>AR · Admin Radio</t>
        </is>
      </c>
      <c r="B26" s="9" t="n"/>
      <c r="C26" s="9" t="n"/>
    </row>
    <row r="27">
      <c r="A27" s="9" t="inlineStr">
        <is>
          <t>VR · Viewer Radio</t>
        </is>
      </c>
      <c r="B27" s="9" t="n"/>
      <c r="C27" s="9" t="n"/>
    </row>
    <row r="28">
      <c r="A28" s="9" t="inlineStr">
        <is>
          <t>DC · Document Controller</t>
        </is>
      </c>
      <c r="B28" s="9" t="n"/>
      <c r="C28" s="9" t="n"/>
    </row>
  </sheetData>
  <mergeCells count="8">
    <mergeCell ref="B9:E9"/>
    <mergeCell ref="B8:E8"/>
    <mergeCell ref="B4:E4"/>
    <mergeCell ref="B6:E6"/>
    <mergeCell ref="B7:E7"/>
    <mergeCell ref="B3:E3"/>
    <mergeCell ref="B5:E5"/>
    <mergeCell ref="B10:E10"/>
  </mergeCells>
  <pageMargins left="0.4" right="0.4" top="0.5" bottom="0.5" header="0.5" footer="0.5"/>
  <pageSetup orientation="landscape" paperSize="9" fitToHeight="0" fitToWidth="1"/>
  <headerFooter>
    <oddHeader/>
    <oddFooter>&amp;LForm UAT MTI Radio Management · versi 1.21.4&amp;RHalaman &amp;P dari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9" customWidth="1" min="3" max="3"/>
    <col width="34" customWidth="1" min="4" max="4"/>
    <col width="62" customWidth="1" min="5" max="5"/>
    <col width="52" customWidth="1" min="6" max="6"/>
    <col width="11" customWidth="1" min="7" max="7"/>
    <col width="36" customWidth="1" min="8" max="8"/>
    <col width="18" customWidth="1" min="9" max="9"/>
    <col width="13" customWidth="1" min="10" max="10"/>
  </cols>
  <sheetData>
    <row r="1">
      <c r="A1" s="10" t="inlineStr">
        <is>
          <t>ID</t>
        </is>
      </c>
      <c r="B1" s="10" t="inlineStr">
        <is>
          <t>Bagian</t>
        </is>
      </c>
      <c r="C1" s="10" t="inlineStr">
        <is>
          <t>Peran</t>
        </is>
      </c>
      <c r="D1" s="10" t="inlineStr">
        <is>
          <t>Skenario</t>
        </is>
      </c>
      <c r="E1" s="10" t="inlineStr">
        <is>
          <t>Langkah</t>
        </is>
      </c>
      <c r="F1" s="10" t="inlineStr">
        <is>
          <t>Hasil yang diharapkan</t>
        </is>
      </c>
      <c r="G1" s="10" t="inlineStr">
        <is>
          <t>Status</t>
        </is>
      </c>
      <c r="H1" s="10" t="inlineStr">
        <is>
          <t>Catatan</t>
        </is>
      </c>
      <c r="I1" s="10" t="inlineStr">
        <is>
          <t>Penguji</t>
        </is>
      </c>
      <c r="J1" s="10" t="inlineStr">
        <is>
          <t>Tanggal</t>
        </is>
      </c>
    </row>
    <row r="2">
      <c r="A2" s="11" t="inlineStr">
        <is>
          <t>UAT-LOG-01</t>
        </is>
      </c>
      <c r="B2" s="6" t="inlineStr">
        <is>
          <t>Masuk dan keluar</t>
        </is>
      </c>
      <c r="C2" s="6" t="inlineStr">
        <is>
          <t>Semua</t>
        </is>
      </c>
      <c r="D2" s="6" t="inlineStr">
        <is>
          <t>Masuk dengan Microsoft</t>
        </is>
      </c>
      <c r="E2" s="6" t="inlineStr">
        <is>
          <t>1. Buka alamat aplikasi.
2. Klik Microsoft di bawah Masuk dengan SSO.
3. Pilih akun Microsoft kantor Anda dan selesaikan login.</t>
        </is>
      </c>
      <c r="F2" s="6" t="inlineStr">
        <is>
          <t>Aplikasi terbuka di halaman awal role Anda; nama dan role tampil di kanan atas. Pilihan akun Microsoft selalu muncul.</t>
        </is>
      </c>
      <c r="G2" s="12" t="n"/>
      <c r="H2" s="6" t="n"/>
      <c r="I2" s="6" t="n"/>
      <c r="J2" s="13" t="n"/>
    </row>
    <row r="3">
      <c r="A3" s="11" t="inlineStr">
        <is>
          <t>UAT-LOG-02</t>
        </is>
      </c>
      <c r="B3" s="6" t="inlineStr">
        <is>
          <t>Masuk dan keluar</t>
        </is>
      </c>
      <c r="C3" s="6" t="inlineStr">
        <is>
          <t>Semua</t>
        </is>
      </c>
      <c r="D3" s="6" t="inlineStr">
        <is>
          <t>Masuk dengan Akun Merdeka (LDAP)</t>
        </is>
      </c>
      <c r="E3" s="6" t="inlineStr">
        <is>
          <t>1. Di form Masuk dengan Akun Merdeka, isi Email atau username dengan username Windows (tanpa @...).
2. Isi Kata sandi dengan kata sandi Windows, lalu klik Masuk.</t>
        </is>
      </c>
      <c r="F3" s="6" t="inlineStr">
        <is>
          <t>Masuk ke halaman awal role. Akun harus memakai metode LDAP di User Terdaftar.</t>
        </is>
      </c>
      <c r="G3" s="12" t="n"/>
      <c r="H3" s="6" t="n"/>
      <c r="I3" s="6" t="n"/>
      <c r="J3" s="13" t="n"/>
    </row>
    <row r="4">
      <c r="A4" s="11" t="inlineStr">
        <is>
          <t>UAT-LOG-03</t>
        </is>
      </c>
      <c r="B4" s="6" t="inlineStr">
        <is>
          <t>Masuk dan keluar</t>
        </is>
      </c>
      <c r="C4" s="6" t="inlineStr">
        <is>
          <t>Semua</t>
        </is>
      </c>
      <c r="D4" s="6" t="inlineStr">
        <is>
          <t>Kata sandi salah ditolak</t>
        </is>
      </c>
      <c r="E4" s="6" t="inlineStr">
        <is>
          <t>1. Isi Email atau username yang benar dan Kata sandi yang salah.
2. Klik Masuk.</t>
        </is>
      </c>
      <c r="F4" s="6" t="inlineStr">
        <is>
          <t>Pesan "Username atau kata sandi salah!"; tidak masuk. Audit Log mencatat "Gagal masuk" beserta alasannya.</t>
        </is>
      </c>
      <c r="G4" s="12" t="n"/>
      <c r="H4" s="6" t="n"/>
      <c r="I4" s="6" t="n"/>
      <c r="J4" s="13" t="n"/>
    </row>
    <row r="5">
      <c r="A5" s="11" t="inlineStr">
        <is>
          <t>UAT-LOG-04</t>
        </is>
      </c>
      <c r="B5" s="6" t="inlineStr">
        <is>
          <t>Masuk dan keluar</t>
        </is>
      </c>
      <c r="C5" s="6" t="inlineStr">
        <is>
          <t>Semua</t>
        </is>
      </c>
      <c r="D5" s="6" t="inlineStr">
        <is>
          <t>Akun Microsoft yang belum terdaftar ditolak</t>
        </is>
      </c>
      <c r="E5" s="6" t="inlineStr">
        <is>
          <t>1. Klik Microsoft dan masuk dengan akun Microsoft yang belum terdaftar di aplikasi.</t>
        </is>
      </c>
      <c r="F5" s="6" t="inlineStr">
        <is>
          <t>Pesan bahwa user belum terdaftar di SSO Microsoft; tidak masuk.</t>
        </is>
      </c>
      <c r="G5" s="12" t="n"/>
      <c r="H5" s="6" t="n"/>
      <c r="I5" s="6" t="n"/>
      <c r="J5" s="13" t="n"/>
    </row>
    <row r="6">
      <c r="A6" s="11" t="inlineStr">
        <is>
          <t>UAT-LOG-05</t>
        </is>
      </c>
      <c r="B6" s="6" t="inlineStr">
        <is>
          <t>Masuk dan keluar</t>
        </is>
      </c>
      <c r="C6" s="6" t="inlineStr">
        <is>
          <t>SA</t>
        </is>
      </c>
      <c r="D6" s="6" t="inlineStr">
        <is>
          <t>Akun nonaktif tidak bisa masuk</t>
        </is>
      </c>
      <c r="E6" s="6" t="inlineStr">
        <is>
          <t>1. Super Admin menonaktifkan akun uji di User Terdaftar.
2. Coba masuk dengan akun uji itu, lalu aktifkan lagi akunnya dan ulangi.</t>
        </is>
      </c>
      <c r="F6" s="6" t="inlineStr">
        <is>
          <t>Pesan "Akun nonaktif"; tidak masuk. Setelah diaktifkan lagi, akun itu bisa masuk.</t>
        </is>
      </c>
      <c r="G6" s="12" t="n"/>
      <c r="H6" s="6" t="n"/>
      <c r="I6" s="6" t="n"/>
      <c r="J6" s="13" t="n"/>
    </row>
    <row r="7">
      <c r="A7" s="11" t="inlineStr">
        <is>
          <t>UAT-LOG-06</t>
        </is>
      </c>
      <c r="B7" s="6" t="inlineStr">
        <is>
          <t>Masuk dan keluar</t>
        </is>
      </c>
      <c r="C7" s="6" t="inlineStr">
        <is>
          <t>Semua</t>
        </is>
      </c>
      <c r="D7" s="6" t="inlineStr">
        <is>
          <t>Peringatan sesi karena tidak aktif</t>
        </is>
      </c>
      <c r="E7" s="6" t="inlineStr">
        <is>
          <t>1. Masuk, lalu biarkan aplikasi tanpa aktivitas selama 28 menit.
2. Saat peringatan muncul, klik Tetap masuk.</t>
        </is>
      </c>
      <c r="F7" s="6" t="inlineStr">
        <is>
          <t>Dialog "Sesi akan berakhir" dengan hitung mundur 2 menit; Tetap masuk memperpanjang sesi dan pekerjaan bisa dilanjutkan.</t>
        </is>
      </c>
      <c r="G7" s="12" t="n"/>
      <c r="H7" s="6" t="n"/>
      <c r="I7" s="6" t="n"/>
      <c r="J7" s="13" t="n"/>
    </row>
    <row r="8">
      <c r="A8" s="11" t="inlineStr">
        <is>
          <t>UAT-LOG-07</t>
        </is>
      </c>
      <c r="B8" s="6" t="inlineStr">
        <is>
          <t>Masuk dan keluar</t>
        </is>
      </c>
      <c r="C8" s="6" t="inlineStr">
        <is>
          <t>Semua</t>
        </is>
      </c>
      <c r="D8" s="6" t="inlineStr">
        <is>
          <t>Sesi berakhir</t>
        </is>
      </c>
      <c r="E8" s="6" t="inlineStr">
        <is>
          <t>1. Biarkan hitung mundur peringatan sesi habis tanpa menekan tombol apa pun.</t>
        </is>
      </c>
      <c r="F8" s="6" t="inlineStr">
        <is>
          <t>Halaman pindah ke login dengan pesan "Sesi berakhir" beserta alasannya (tidak aktif 30 menit). Audit Log mencatat sesi yang berakhir.</t>
        </is>
      </c>
      <c r="G8" s="12" t="n"/>
      <c r="H8" s="6" t="n"/>
      <c r="I8" s="6" t="n"/>
      <c r="J8" s="13" t="n"/>
    </row>
    <row r="9">
      <c r="A9" s="11" t="inlineStr">
        <is>
          <t>UAT-LOG-08</t>
        </is>
      </c>
      <c r="B9" s="6" t="inlineStr">
        <is>
          <t>Masuk dan keluar</t>
        </is>
      </c>
      <c r="C9" s="6" t="inlineStr">
        <is>
          <t>Semua</t>
        </is>
      </c>
      <c r="D9" s="6" t="inlineStr">
        <is>
          <t>Keluar</t>
        </is>
      </c>
      <c r="E9" s="6" t="inlineStr">
        <is>
          <t>1. Klik nama Anda di kanan atas, lalu Keluar.
2. Buka lagi sebuah halaman aplikasi.</t>
        </is>
      </c>
      <c r="F9" s="6" t="inlineStr">
        <is>
          <t>Kembali ke halaman login, dan halaman aplikasi meminta login lagi. Akun Microsoft di browser tetap masuk.</t>
        </is>
      </c>
      <c r="G9" s="12" t="n"/>
      <c r="H9" s="6" t="n"/>
      <c r="I9" s="6" t="n"/>
      <c r="J9" s="13" t="n"/>
    </row>
    <row r="10">
      <c r="A10" s="11" t="inlineStr">
        <is>
          <t>UAT-GEN-01</t>
        </is>
      </c>
      <c r="B10" s="6" t="inlineStr">
        <is>
          <t>Tampilan umum, bahasa dan Riwayat versi</t>
        </is>
      </c>
      <c r="C10" s="6" t="inlineStr">
        <is>
          <t>Semua</t>
        </is>
      </c>
      <c r="D10" s="6" t="inlineStr">
        <is>
          <t>Ganti bahasa ID | EN</t>
        </is>
      </c>
      <c r="E10" s="6" t="inlineStr">
        <is>
          <t>1. Klik EN di bar atas dan buka beberapa menu.
2. Keluar, lalu masuk lagi.
3. Klik ID untuk kembali.</t>
        </is>
      </c>
      <c r="F10" s="6" t="inlineStr">
        <is>
          <t>Menu, judul, tombol, tabel, dialog dan pesan tampil dalam English; pilihan tetap setelah masuk lagi (tersimpan di akun). ID mengembalikan Bahasa Indonesia.</t>
        </is>
      </c>
      <c r="G10" s="12" t="n"/>
      <c r="H10" s="6" t="n"/>
      <c r="I10" s="6" t="n"/>
      <c r="J10" s="13" t="n"/>
    </row>
    <row r="11">
      <c r="A11" s="11" t="inlineStr">
        <is>
          <t>UAT-GEN-02</t>
        </is>
      </c>
      <c r="B11" s="6" t="inlineStr">
        <is>
          <t>Tampilan umum, bahasa dan Riwayat versi</t>
        </is>
      </c>
      <c r="C11" s="6" t="inlineStr">
        <is>
          <t>Semua</t>
        </is>
      </c>
      <c r="D11" s="6" t="inlineStr">
        <is>
          <t>Bahasa dan panduan di halaman login</t>
        </is>
      </c>
      <c r="E11" s="6" t="inlineStr">
        <is>
          <t>1. Di halaman login, klik EN lalu ID di pojok kanan bawah.
2. Klik Klik di sini di samping Panduan masuk:.</t>
        </is>
      </c>
      <c r="F11" s="6" t="inlineStr">
        <is>
          <t>Teks halaman login berganti bahasa; ringkasan cara masuk tampil.</t>
        </is>
      </c>
      <c r="G11" s="12" t="n"/>
      <c r="H11" s="6" t="n"/>
      <c r="I11" s="6" t="n"/>
      <c r="J11" s="13" t="n"/>
    </row>
    <row r="12">
      <c r="A12" s="11" t="inlineStr">
        <is>
          <t>UAT-GEN-03</t>
        </is>
      </c>
      <c r="B12" s="6" t="inlineStr">
        <is>
          <t>Tampilan umum, bahasa dan Riwayat versi</t>
        </is>
      </c>
      <c r="C12" s="6" t="inlineStr">
        <is>
          <t>AR</t>
        </is>
      </c>
      <c r="D12" s="6" t="inlineStr">
        <is>
          <t>Data tetap seperti tersimpan dalam English</t>
        </is>
      </c>
      <c r="E12" s="6" t="inlineStr">
        <is>
          <t>1. Pilih EN, lalu buka detail sebuah radio dan Riwayat Radio.</t>
        </is>
      </c>
      <c r="F12" s="6" t="inlineStr">
        <is>
          <t>Label dan tombol dalam English; isi riwayat, catatan dan keterangan tetap seperti tersimpan (Bahasa Indonesia). Posisi dan kondisi tampil dengan namanya dalam English (misalnya With user, Good).</t>
        </is>
      </c>
      <c r="G12" s="12" t="n"/>
      <c r="H12" s="6" t="n"/>
      <c r="I12" s="6" t="n"/>
      <c r="J12" s="13" t="n"/>
    </row>
    <row r="13">
      <c r="A13" s="11" t="inlineStr">
        <is>
          <t>UAT-GEN-04</t>
        </is>
      </c>
      <c r="B13" s="6" t="inlineStr">
        <is>
          <t>Tampilan umum, bahasa dan Riwayat versi</t>
        </is>
      </c>
      <c r="C13" s="6" t="inlineStr">
        <is>
          <t>Semua</t>
        </is>
      </c>
      <c r="D13" s="6" t="inlineStr">
        <is>
          <t>Sidebar dan jalur halaman</t>
        </is>
      </c>
      <c r="E13" s="6" t="inlineStr">
        <is>
          <t>1. Klik tombol di ujung kiri bar atas untuk mengecilkan sidebar, lalu muat ulang halaman.
2. Buka detail sebuah radio, lalu klik Register Radio di jalur halaman (breadcrumb).</t>
        </is>
      </c>
      <c r="F13" s="6" t="inlineStr">
        <is>
          <t>Sidebar menjadi deretan ikon dan tetap begitu setelah dimuat ulang; nama menu muncul saat kursor di atas ikon. Jalur halaman membawa kembali ke Register Radio.</t>
        </is>
      </c>
      <c r="G13" s="12" t="n"/>
      <c r="H13" s="6" t="n"/>
      <c r="I13" s="6" t="n"/>
      <c r="J13" s="13" t="n"/>
    </row>
    <row r="14">
      <c r="A14" s="11" t="inlineStr">
        <is>
          <t>UAT-GEN-05</t>
        </is>
      </c>
      <c r="B14" s="6" t="inlineStr">
        <is>
          <t>Tampilan umum, bahasa dan Riwayat versi</t>
        </is>
      </c>
      <c r="C14" s="6" t="inlineStr">
        <is>
          <t>Semua</t>
        </is>
      </c>
      <c r="D14" s="6" t="inlineStr">
        <is>
          <t>Riwayat versi</t>
        </is>
      </c>
      <c r="E14" s="6" t="inlineStr">
        <is>
          <t>1. Klik nomor versi di footer (misalnya v1.21.4).
2. Ganti bahasa, lalu buka dialognya lagi.</t>
        </is>
      </c>
      <c r="F14" s="6" t="inlineStr">
        <is>
          <t>Dialog Riwayat versi menampilkan garis waktu, yang terbaru di atas; versi yang berjalan bertanda Versi ini. Legenda dan label jenis (Added, Changed, Fixed, ...) selalu English; isi catatan mengikuti bahasa yang dipilih.</t>
        </is>
      </c>
      <c r="G14" s="12" t="n"/>
      <c r="H14" s="6" t="n"/>
      <c r="I14" s="6" t="n"/>
      <c r="J14" s="13" t="n"/>
    </row>
    <row r="15">
      <c r="A15" s="11" t="inlineStr">
        <is>
          <t>UAT-GEN-06</t>
        </is>
      </c>
      <c r="B15" s="6" t="inlineStr">
        <is>
          <t>Tampilan umum, bahasa dan Riwayat versi</t>
        </is>
      </c>
      <c r="C15" s="6" t="inlineStr">
        <is>
          <t>VR</t>
        </is>
      </c>
      <c r="D15" s="6" t="inlineStr">
        <is>
          <t>Halaman tanpa izin</t>
        </is>
      </c>
      <c r="E15" s="6" t="inlineStr">
        <is>
          <t>1. Masuk sebagai Viewer Radio.
2. Ketik alamat halaman yang tidak ada di menunya di address bar, misalnya /audit-log.</t>
        </is>
      </c>
      <c r="F15" s="6" t="inlineStr">
        <is>
          <t>Halaman "Anda tidak punya akses ke halaman ini" dengan tombol Ke halaman utama; isi halaman tidak tampil.</t>
        </is>
      </c>
      <c r="G15" s="12" t="n"/>
      <c r="H15" s="6" t="n"/>
      <c r="I15" s="6" t="n"/>
      <c r="J15" s="13" t="n"/>
    </row>
    <row r="16">
      <c r="A16" s="11" t="inlineStr">
        <is>
          <t>UAT-NOT-01</t>
        </is>
      </c>
      <c r="B16" s="6" t="inlineStr">
        <is>
          <t>Notifikasi</t>
        </is>
      </c>
      <c r="C16" s="6" t="inlineStr">
        <is>
          <t>DC</t>
        </is>
      </c>
      <c r="D16" s="6" t="inlineStr">
        <is>
          <t>Lonceng notifikasi</t>
        </is>
      </c>
      <c r="E16" s="6" t="inlineStr">
        <is>
          <t>1. Pastikan ada notifikasi baru (misalnya pengajuan perubahan sel dari UAT-ICT-03).
2. Klik lonceng, lalu klik notifikasinya.</t>
        </is>
      </c>
      <c r="F16" s="6" t="inlineStr">
        <is>
          <t>Angka merah di lonceng menunjukkan jumlah yang belum dibaca; klik notifikasi menandainya dibaca dan membuka halamannya (Persetujuan Edit).</t>
        </is>
      </c>
      <c r="G16" s="12" t="n"/>
      <c r="H16" s="6" t="n"/>
      <c r="I16" s="6" t="n"/>
      <c r="J16" s="13" t="n"/>
    </row>
    <row r="17">
      <c r="A17" s="11" t="inlineStr">
        <is>
          <t>UAT-NOT-02</t>
        </is>
      </c>
      <c r="B17" s="6" t="inlineStr">
        <is>
          <t>Notifikasi</t>
        </is>
      </c>
      <c r="C17" s="6" t="inlineStr">
        <is>
          <t>Semua</t>
        </is>
      </c>
      <c r="D17" s="6" t="inlineStr">
        <is>
          <t>Tandai semua dibaca dan halaman Notifikasi</t>
        </is>
      </c>
      <c r="E17" s="6" t="inlineStr">
        <is>
          <t>1. Klik lonceng, lalu Tandai semua dibaca.
2. Klik Lihat semua notifikasi.</t>
        </is>
      </c>
      <c r="F17" s="6" t="inlineStr">
        <is>
          <t>Angka di lonceng hilang. Halaman Notifikasi terbuka dengan tab Semua, Belum dibaca, Radio, Dokumen dan Sistem beserta jumlahnya, dikelompokkan Hari ini, Kemarin dan Sebelumnya.</t>
        </is>
      </c>
      <c r="G17" s="12" t="n"/>
      <c r="H17" s="6" t="n"/>
      <c r="I17" s="6" t="n"/>
      <c r="J17" s="13" t="n"/>
    </row>
    <row r="18">
      <c r="A18" s="11" t="inlineStr">
        <is>
          <t>UAT-NOT-03</t>
        </is>
      </c>
      <c r="B18" s="6" t="inlineStr">
        <is>
          <t>Notifikasi</t>
        </is>
      </c>
      <c r="C18" s="6" t="inlineStr">
        <is>
          <t>Semua</t>
        </is>
      </c>
      <c r="D18" s="6" t="inlineStr">
        <is>
          <t>Tandai dibaca per baris</t>
        </is>
      </c>
      <c r="E18" s="6" t="inlineStr">
        <is>
          <t>1. Di halaman Notifikasi, buka tab Belum dibaca.
2. Klik Tandai dibaca di satu baris.</t>
        </is>
      </c>
      <c r="F18" s="6" t="inlineStr">
        <is>
          <t>Baris itu tertanda dibaca tanpa membuka notifikasinya; jumlah di tab dan di lonceng berkurang satu.</t>
        </is>
      </c>
      <c r="G18" s="12" t="n"/>
      <c r="H18" s="6" t="n"/>
      <c r="I18" s="6" t="n"/>
      <c r="J18" s="13" t="n"/>
    </row>
    <row r="19">
      <c r="A19" s="11" t="inlineStr">
        <is>
          <t>UAT-DSB-01</t>
        </is>
      </c>
      <c r="B19" s="6" t="inlineStr">
        <is>
          <t>Dashboard</t>
        </is>
      </c>
      <c r="C19" s="6" t="inlineStr">
        <is>
          <t>AR</t>
        </is>
      </c>
      <c r="D19" s="6" t="inlineStr">
        <is>
          <t>Kartu angka Dashboard</t>
        </is>
      </c>
      <c r="E19" s="6" t="inlineStr">
        <is>
          <t>1. Buka Dashboard.
2. Bandingkan kartu Radio aktif dan kartu per posisi dengan jumlah di Register Radio.
3. Klik kartu Stok IT.</t>
        </is>
      </c>
      <c r="F19" s="6" t="inlineStr">
        <is>
          <t>Judul "Selamat datang di Radio Management System". Angkanya sama dengan Register Radio; kartu membuka Register Radio yang sudah tersaring posisi Stok IT.</t>
        </is>
      </c>
      <c r="G19" s="12" t="n"/>
      <c r="H19" s="6" t="n"/>
      <c r="I19" s="6" t="n"/>
      <c r="J19" s="13" t="n"/>
    </row>
    <row r="20">
      <c r="A20" s="11" t="inlineStr">
        <is>
          <t>UAT-DSB-02</t>
        </is>
      </c>
      <c r="B20" s="6" t="inlineStr">
        <is>
          <t>Dashboard</t>
        </is>
      </c>
      <c r="C20" s="6" t="inlineStr">
        <is>
          <t>AR</t>
        </is>
      </c>
      <c r="D20" s="6" t="inlineStr">
        <is>
          <t>Kondisi radio aktif</t>
        </is>
      </c>
      <c r="E20" s="6" t="inlineStr">
        <is>
          <t>1. Di panel Kondisi radio aktif, klik irisan atau baris Perlu Service.</t>
        </is>
      </c>
      <c r="F20" s="6" t="inlineStr">
        <is>
          <t>Register Radio terbuka dengan filter kondisi Perlu Service; jumlahnya sama dengan di panel.</t>
        </is>
      </c>
      <c r="G20" s="12" t="n"/>
      <c r="H20" s="6" t="n"/>
      <c r="I20" s="6" t="n"/>
      <c r="J20" s="13" t="n"/>
    </row>
    <row r="21">
      <c r="A21" s="11" t="inlineStr">
        <is>
          <t>UAT-DSB-03</t>
        </is>
      </c>
      <c r="B21" s="6" t="inlineStr">
        <is>
          <t>Dashboard</t>
        </is>
      </c>
      <c r="C21" s="6" t="inlineStr">
        <is>
          <t>AR</t>
        </is>
      </c>
      <c r="D21" s="6" t="inlineStr">
        <is>
          <t>Radio ID bebas berikutnya</t>
        </is>
      </c>
      <c r="E21" s="6" t="inlineStr">
        <is>
          <t>1. Lihat panel Radio ID bebas berikutnya.
2. Hitung MDC Code (heksadesimal) beberapa ID yang ditampilkan.</t>
        </is>
      </c>
      <c r="F21" s="6" t="inlineStr">
        <is>
          <t>Tidak ada ID yang MDC Code-nya mengandung huruf F, dan tidak ada ID yang sudah dipakai radio aktif.</t>
        </is>
      </c>
      <c r="G21" s="12" t="n"/>
      <c r="H21" s="6" t="n"/>
      <c r="I21" s="6" t="n"/>
      <c r="J21" s="13" t="n"/>
    </row>
    <row r="22">
      <c r="A22" s="11" t="inlineStr">
        <is>
          <t>UAT-DSB-04</t>
        </is>
      </c>
      <c r="B22" s="6" t="inlineStr">
        <is>
          <t>Dashboard</t>
        </is>
      </c>
      <c r="C22" s="6" t="inlineStr">
        <is>
          <t>AR</t>
        </is>
      </c>
      <c r="D22" s="6" t="inlineStr">
        <is>
          <t>Perlu tindakan</t>
        </is>
      </c>
      <c r="E22" s="6" t="inlineStr">
        <is>
          <t>1. Di panel Perlu tindakan, klik Lihat pada satu masalah.
2. Kembali ke Dashboard, lalu klik Buka inbox.</t>
        </is>
      </c>
      <c r="F22" s="6" t="inlineStr">
        <is>
          <t>Lihat membuka Register Radio tersaring masalah itu dengan jumlah yang sama; Buka inbox membuka Perlu Perhatian.</t>
        </is>
      </c>
      <c r="G22" s="12" t="n"/>
      <c r="H22" s="6" t="n"/>
      <c r="I22" s="6" t="n"/>
      <c r="J22" s="13" t="n"/>
    </row>
    <row r="23">
      <c r="A23" s="11" t="inlineStr">
        <is>
          <t>UAT-DSB-05</t>
        </is>
      </c>
      <c r="B23" s="6" t="inlineStr">
        <is>
          <t>Dashboard</t>
        </is>
      </c>
      <c r="C23" s="6" t="inlineStr">
        <is>
          <t>VR</t>
        </is>
      </c>
      <c r="D23" s="6" t="inlineStr">
        <is>
          <t>Grafik dan aktivitas terbaru</t>
        </is>
      </c>
      <c r="E23" s="6" t="inlineStr">
        <is>
          <t>1. Lihat panel Radio aktif per company pengguna, Radio aktif per tipe dan Aktivitas terbaru.
2. Klik satu radio di Aktivitas terbaru, lalu Semua riwayat.</t>
        </is>
      </c>
      <c r="F23" s="6" t="inlineStr">
        <is>
          <t>Total di tengah cincin sama dengan jumlah radio aktif; setiap batang per tipe berisi angkanya. Tautan membuka detail radio, dan Semua riwayat membuka Riwayat Radio.</t>
        </is>
      </c>
      <c r="G23" s="12" t="n"/>
      <c r="H23" s="6" t="n"/>
      <c r="I23" s="6" t="n"/>
      <c r="J23" s="13" t="n"/>
    </row>
    <row r="24">
      <c r="A24" s="11" t="inlineStr">
        <is>
          <t>UAT-REG-01</t>
        </is>
      </c>
      <c r="B24" s="6" t="inlineStr">
        <is>
          <t>Register Radio</t>
        </is>
      </c>
      <c r="C24" s="6" t="inlineStr">
        <is>
          <t>VR</t>
        </is>
      </c>
      <c r="D24" s="6" t="inlineStr">
        <is>
          <t>Mencari, mengurutkan dan pindah halaman</t>
        </is>
      </c>
      <c r="E24" s="6" t="inlineStr">
        <is>
          <t>1. Buka Register Radio dan ketik sebagian SN, Radio ID atau nama user di kotak cari.
2. Klik judul kolom Radio ID, lalu ubah Baris per halaman dan pindah halaman.</t>
        </is>
      </c>
      <c r="F24" s="6" t="inlineStr">
        <is>
          <t>Daftar berubah sambil mengetik; urutan dan jumlah baris per halaman mengikuti pilihan; baris ringkasan "Menampilkan … dari …" benar.</t>
        </is>
      </c>
      <c r="G24" s="12" t="n"/>
      <c r="H24" s="6" t="n"/>
      <c r="I24" s="6" t="n"/>
      <c r="J24" s="13" t="n"/>
    </row>
    <row r="25">
      <c r="A25" s="11" t="inlineStr">
        <is>
          <t>UAT-REG-02</t>
        </is>
      </c>
      <c r="B25" s="6" t="inlineStr">
        <is>
          <t>Register Radio</t>
        </is>
      </c>
      <c r="C25" s="6" t="inlineStr">
        <is>
          <t>VR</t>
        </is>
      </c>
      <c r="D25" s="6" t="inlineStr">
        <is>
          <t>Radio aktif dan arsip</t>
        </is>
      </c>
      <c r="E25" s="6" t="inlineStr">
        <is>
          <t>1. Pilih Arsip, lalu Semua, lalu Aktif.</t>
        </is>
      </c>
      <c r="F25" s="6" t="inlineStr">
        <is>
          <t>Arsip hanya menampilkan radio yang diarsipkan, dengan kolom user terakhir, tanggal arsip dan alasan; Semua menampilkan keduanya.</t>
        </is>
      </c>
      <c r="G25" s="12" t="n"/>
      <c r="H25" s="6" t="n"/>
      <c r="I25" s="6" t="n"/>
      <c r="J25" s="13" t="n"/>
    </row>
    <row r="26">
      <c r="A26" s="11" t="inlineStr">
        <is>
          <t>UAT-REG-03</t>
        </is>
      </c>
      <c r="B26" s="6" t="inlineStr">
        <is>
          <t>Register Radio</t>
        </is>
      </c>
      <c r="C26" s="6" t="inlineStr">
        <is>
          <t>VR</t>
        </is>
      </c>
      <c r="D26" s="6" t="inlineStr">
        <is>
          <t>Filter dan Muat ulang</t>
        </is>
      </c>
      <c r="E26" s="6" t="inlineStr">
        <is>
          <t>1. Klik Filter, pilih misalnya Tipe Radio dan Kondisi, lalu Terapkan filter.
2. Ketik sesuatu di kotak cari, lalu klik Muat ulang.
3. Klik × pada satu chip, lalu Kosongkan filter.</t>
        </is>
      </c>
      <c r="F26" s="6" t="inlineStr">
        <is>
          <t>Filter aktif tampil sebagai chip setelah Diterapkan:; Muat ulang mengambil daftar terbaru tanpa menghapus pencarian dan filter; × melepas satu filter, Kosongkan filter melepas semuanya.</t>
        </is>
      </c>
      <c r="G26" s="12" t="n"/>
      <c r="H26" s="6" t="n"/>
      <c r="I26" s="6" t="n"/>
      <c r="J26" s="13" t="n"/>
    </row>
    <row r="27">
      <c r="A27" s="11" t="inlineStr">
        <is>
          <t>UAT-REG-04</t>
        </is>
      </c>
      <c r="B27" s="6" t="inlineStr">
        <is>
          <t>Register Radio</t>
        </is>
      </c>
      <c r="C27" s="6" t="inlineStr">
        <is>
          <t>VR</t>
        </is>
      </c>
      <c r="D27" s="6" t="inlineStr">
        <is>
          <t>Export Excel</t>
        </is>
      </c>
      <c r="E27" s="6" t="inlineStr">
        <is>
          <t>1. Pasang satu filter, lalu klik Export Excel.
2. Buka file yang terunduh.</t>
        </is>
      </c>
      <c r="F27" s="6" t="inlineStr">
        <is>
          <t>File .xlsx berisi semua radio sesuai filter (bukan hanya halaman yang tampil).</t>
        </is>
      </c>
      <c r="G27" s="12" t="n"/>
      <c r="H27" s="6" t="n"/>
      <c r="I27" s="6" t="n"/>
      <c r="J27" s="13" t="n"/>
    </row>
    <row r="28">
      <c r="A28" s="11" t="inlineStr">
        <is>
          <t>UAT-REG-05</t>
        </is>
      </c>
      <c r="B28" s="6" t="inlineStr">
        <is>
          <t>Register Radio</t>
        </is>
      </c>
      <c r="C28" s="6" t="inlineStr">
        <is>
          <t>AR</t>
        </is>
      </c>
      <c r="D28" s="6" t="inlineStr">
        <is>
          <t>Menambah radio</t>
        </is>
      </c>
      <c r="E28" s="6" t="inlineStr">
        <is>
          <t>1. Klik Tambah radio.
2. Isi SN baru, Tipe radio, Posisi dan Kondisi (wajib), serta Radio ID yang bebas.
3. Klik Simpan radio.</t>
        </is>
      </c>
      <c r="F28" s="6" t="inlineStr">
        <is>
          <t>Radio baru ada di daftar; MDC Code, kategori dan daya terisi otomatis; pesan hasil muncul di bawah layar; riwayat radio mencatat "Dibuat".</t>
        </is>
      </c>
      <c r="G28" s="12" t="n"/>
      <c r="H28" s="6" t="n"/>
      <c r="I28" s="6" t="n"/>
      <c r="J28" s="13" t="n"/>
    </row>
    <row r="29">
      <c r="A29" s="11" t="inlineStr">
        <is>
          <t>UAT-REG-06</t>
        </is>
      </c>
      <c r="B29" s="6" t="inlineStr">
        <is>
          <t>Register Radio</t>
        </is>
      </c>
      <c r="C29" s="6" t="inlineStr">
        <is>
          <t>AR</t>
        </is>
      </c>
      <c r="D29" s="6" t="inlineStr">
        <is>
          <t>Radio ID yang MDC-nya mengandung F ditolak</t>
        </is>
      </c>
      <c r="E29" s="6" t="inlineStr">
        <is>
          <t>1. Di form radio, ketik Radio ID 751 (MDC 2EF).
2. Coba simpan dengan ID itu.</t>
        </is>
      </c>
      <c r="F29" s="6" t="inlineStr">
        <is>
          <t>Form langsung menyatakan ID tidak bisa dipakai karena MDC Code mengandung F dan menawarkan ID pengganti yang bisa dipakai (misalnya Pakai 768); penyimpanan dengan ID itu ditolak.</t>
        </is>
      </c>
      <c r="G29" s="12" t="n"/>
      <c r="H29" s="6" t="n"/>
      <c r="I29" s="6" t="n"/>
      <c r="J29" s="13" t="n"/>
    </row>
    <row r="30">
      <c r="A30" s="11" t="inlineStr">
        <is>
          <t>UAT-REG-07</t>
        </is>
      </c>
      <c r="B30" s="6" t="inlineStr">
        <is>
          <t>Register Radio</t>
        </is>
      </c>
      <c r="C30" s="6" t="inlineStr">
        <is>
          <t>AR</t>
        </is>
      </c>
      <c r="D30" s="6" t="inlineStr">
        <is>
          <t>Radio ID yang sudah dipakai</t>
        </is>
      </c>
      <c r="E30" s="6" t="inlineStr">
        <is>
          <t>1. Di form radio, ketik Radio ID yang sudah dipakai radio aktif lain.
2. Klik Pilih ID.</t>
        </is>
      </c>
      <c r="F30" s="6" t="inlineStr">
        <is>
          <t>Form menyebut ID sudah dipakai beserta pemegangnya; Pilih ID menampilkan ID bebas berikutnya, dan panel ID sekitar menandai ID bebas, dipakai atau ada F.</t>
        </is>
      </c>
      <c r="G30" s="12" t="n"/>
      <c r="H30" s="6" t="n"/>
      <c r="I30" s="6" t="n"/>
      <c r="J30" s="13" t="n"/>
    </row>
    <row r="31">
      <c r="A31" s="11" t="inlineStr">
        <is>
          <t>UAT-REG-08</t>
        </is>
      </c>
      <c r="B31" s="6" t="inlineStr">
        <is>
          <t>Register Radio</t>
        </is>
      </c>
      <c r="C31" s="6" t="inlineStr">
        <is>
          <t>AR</t>
        </is>
      </c>
      <c r="D31" s="6" t="inlineStr">
        <is>
          <t>SN dobel ditolak</t>
        </is>
      </c>
      <c r="E31" s="6" t="inlineStr">
        <is>
          <t>1. Tambah radio dengan SN yang sudah ada di register, lalu klik Simpan radio.</t>
        </is>
      </c>
      <c r="F31" s="6" t="inlineStr">
        <is>
          <t>Penyimpanan ditolak dengan pesan bahwa SN sudah dipakai; tidak ada radio baru.</t>
        </is>
      </c>
      <c r="G31" s="12" t="n"/>
      <c r="H31" s="6" t="n"/>
      <c r="I31" s="6" t="n"/>
      <c r="J31" s="13" t="n"/>
    </row>
    <row r="32">
      <c r="A32" s="11" t="inlineStr">
        <is>
          <t>UAT-REG-09</t>
        </is>
      </c>
      <c r="B32" s="6" t="inlineStr">
        <is>
          <t>Register Radio</t>
        </is>
      </c>
      <c r="C32" s="6" t="inlineStr">
        <is>
          <t>AR</t>
        </is>
      </c>
      <c r="D32" s="6" t="inlineStr">
        <is>
          <t>Perubahan radio tercatat di riwayat</t>
        </is>
      </c>
      <c r="E32" s="6" t="inlineStr">
        <is>
          <t>1. Klik ikon pensil (Edit) pada sebuah radio.
2. Ubah Nama User / Unit, Posisi atau Kondisi, lalu Simpan perubahan.
3. Buka detail radionya.</t>
        </is>
      </c>
      <c r="F32" s="6" t="inlineStr">
        <is>
          <t>Perubahan tersimpan; riwayat radio menampilkan nilai lama dicoret dan nilai baru di sampingnya; Audit Log mencatat perubahan dengan nilai sebelum dan sesudahnya.</t>
        </is>
      </c>
      <c r="G32" s="12" t="n"/>
      <c r="H32" s="6" t="n"/>
      <c r="I32" s="6" t="n"/>
      <c r="J32" s="13" t="n"/>
    </row>
    <row r="33">
      <c r="A33" s="11" t="inlineStr">
        <is>
          <t>UAT-REG-10</t>
        </is>
      </c>
      <c r="B33" s="6" t="inlineStr">
        <is>
          <t>Register Radio</t>
        </is>
      </c>
      <c r="C33" s="6" t="inlineStr">
        <is>
          <t>AR</t>
        </is>
      </c>
      <c r="D33" s="6" t="inlineStr">
        <is>
          <t>Dua orang menyimpan radio yang sama</t>
        </is>
      </c>
      <c r="E33" s="6" t="inlineStr">
        <is>
          <t>1. Dua penguji membuka form Edit radio yang sama.
2. Penguji pertama menyimpan perubahan.
3. Penguji kedua menyimpan perubahan lain.</t>
        </is>
      </c>
      <c r="F33" s="6" t="inlineStr">
        <is>
          <t>Penyimpanan kedua ditolak dengan pesan bahwa data radio ini baru saja diubah (beserta nama pengubahnya); perubahan pertama tidak tertimpa.</t>
        </is>
      </c>
      <c r="G33" s="12" t="n"/>
      <c r="H33" s="6" t="n"/>
      <c r="I33" s="6" t="n"/>
      <c r="J33" s="13" t="n"/>
    </row>
    <row r="34">
      <c r="A34" s="11" t="inlineStr">
        <is>
          <t>UAT-REG-11</t>
        </is>
      </c>
      <c r="B34" s="6" t="inlineStr">
        <is>
          <t>Register Radio</t>
        </is>
      </c>
      <c r="C34" s="6" t="inlineStr">
        <is>
          <t>AR</t>
        </is>
      </c>
      <c r="D34" s="6" t="inlineStr">
        <is>
          <t>Mengarsipkan radio</t>
        </is>
      </c>
      <c r="E34" s="6" t="inlineStr">
        <is>
          <t>1. Klik Arsipkan pada radio uji.
2. Pilih alasan (misalnya Pindah Site), isi tanggal dan catatan, lalu Arsipkan radio.</t>
        </is>
      </c>
      <c r="F34" s="6" t="inlineStr">
        <is>
          <t>Radio pindah ke tampilan Arsip dengan alasan dan tanggalnya; Radio ID-nya dilepas dan bisa dipakai radio lain; riwayat mencatat arsip.</t>
        </is>
      </c>
      <c r="G34" s="12" t="n"/>
      <c r="H34" s="6" t="n"/>
      <c r="I34" s="6" t="n"/>
      <c r="J34" s="13" t="n"/>
    </row>
    <row r="35">
      <c r="A35" s="11" t="inlineStr">
        <is>
          <t>UAT-REG-12</t>
        </is>
      </c>
      <c r="B35" s="6" t="inlineStr">
        <is>
          <t>Register Radio</t>
        </is>
      </c>
      <c r="C35" s="6" t="inlineStr">
        <is>
          <t>AR</t>
        </is>
      </c>
      <c r="D35" s="6" t="inlineStr">
        <is>
          <t>Memulihkan radio</t>
        </is>
      </c>
      <c r="E35" s="6" t="inlineStr">
        <is>
          <t>1. Di tampilan Arsip, klik Pulihkan pada radio dari UAT-REG-11.</t>
        </is>
      </c>
      <c r="F35" s="6" t="inlineStr">
        <is>
          <t>Radio aktif lagi; Radio ID lamanya kembali bila belum dipakai radio lain, bila sudah dipakai ID-nya kosong.</t>
        </is>
      </c>
      <c r="G35" s="12" t="n"/>
      <c r="H35" s="6" t="n"/>
      <c r="I35" s="6" t="n"/>
      <c r="J35" s="13" t="n"/>
    </row>
    <row r="36">
      <c r="A36" s="11" t="inlineStr">
        <is>
          <t>UAT-REG-13</t>
        </is>
      </c>
      <c r="B36" s="6" t="inlineStr">
        <is>
          <t>Register Radio</t>
        </is>
      </c>
      <c r="C36" s="6" t="inlineStr">
        <is>
          <t>AR</t>
        </is>
      </c>
      <c r="D36" s="6" t="inlineStr">
        <is>
          <t>Pilih banyak</t>
        </is>
      </c>
      <c r="E36" s="6" t="inlineStr">
        <is>
          <t>1. Centang beberapa radio, pindah halaman, lalu centang lagi.
2. Klik Pilih semua N radio hasil filter, lalu Kosongkan pilihan.</t>
        </is>
      </c>
      <c r="F36" s="6" t="inlineStr">
        <is>
          <t>Pilihan tetap tersimpan saat pindah halaman; bar di atas tabel menyebut jumlah yang terpilih; Kosongkan pilihan melepas semuanya.</t>
        </is>
      </c>
      <c r="G36" s="12" t="n"/>
      <c r="H36" s="6" t="n"/>
      <c r="I36" s="6" t="n"/>
      <c r="J36" s="13" t="n"/>
    </row>
    <row r="37">
      <c r="A37" s="11" t="inlineStr">
        <is>
          <t>UAT-REG-14</t>
        </is>
      </c>
      <c r="B37" s="6" t="inlineStr">
        <is>
          <t>Register Radio</t>
        </is>
      </c>
      <c r="C37" s="6" t="inlineStr">
        <is>
          <t>AR</t>
        </is>
      </c>
      <c r="D37" s="6" t="inlineStr">
        <is>
          <t>Verifikasi hari ini untuk banyak radio</t>
        </is>
      </c>
      <c r="E37" s="6" t="inlineStr">
        <is>
          <t>1. Di tampilan Semua, centang beberapa radio aktif dan satu radio arsip.
2. Klik Verifikasi hari ini, pilih tanggal, lalu konfirmasi.</t>
        </is>
      </c>
      <c r="F37" s="6" t="inlineStr">
        <is>
          <t>Radio aktif mendapat riwayat "Verifikasi" dan tanggal verifikasinya maju; radio arsip dilewati dan disebutkan alasannya.</t>
        </is>
      </c>
      <c r="G37" s="12" t="n"/>
      <c r="H37" s="6" t="n"/>
      <c r="I37" s="6" t="n"/>
      <c r="J37" s="13" t="n"/>
    </row>
    <row r="38">
      <c r="A38" s="11" t="inlineStr">
        <is>
          <t>UAT-REG-15</t>
        </is>
      </c>
      <c r="B38" s="6" t="inlineStr">
        <is>
          <t>Register Radio</t>
        </is>
      </c>
      <c r="C38" s="6" t="inlineStr">
        <is>
          <t>AR</t>
        </is>
      </c>
      <c r="D38" s="6" t="inlineStr">
        <is>
          <t>Export terpilih dan arsip banyak radio</t>
        </is>
      </c>
      <c r="E38" s="6" t="inlineStr">
        <is>
          <t>1. Centang dua radio uji, klik Export terpilih dan buka filenya.
2. Dengan radio yang sama tercentang, klik Arsipkan, isi alasan, tanggal dan catatan, lalu konfirmasi.</t>
        </is>
      </c>
      <c r="F38" s="6" t="inlineStr">
        <is>
          <t>File Excel hanya berisi radio yang dicentang. Kedua radio diarsipkan dengan satu alasan; arsip banyak berlaku untuk paling banyak 100 radio yang dicentang satu per satu.</t>
        </is>
      </c>
      <c r="G38" s="12" t="n"/>
      <c r="H38" s="6" t="n"/>
      <c r="I38" s="6" t="n"/>
      <c r="J38" s="13" t="n"/>
    </row>
    <row r="39">
      <c r="A39" s="11" t="inlineStr">
        <is>
          <t>UAT-REG-16</t>
        </is>
      </c>
      <c r="B39" s="6" t="inlineStr">
        <is>
          <t>Register Radio</t>
        </is>
      </c>
      <c r="C39" s="6" t="inlineStr">
        <is>
          <t>AR</t>
        </is>
      </c>
      <c r="D39" s="6" t="inlineStr">
        <is>
          <t>Menghapus banyak radio salah input</t>
        </is>
      </c>
      <c r="E39" s="6" t="inlineStr">
        <is>
          <t>1. Centang radio uji yang salah input, lalu klik Hapus.
2. Ketik jumlah radio yang dicentang sebagai konfirmasi.</t>
        </is>
      </c>
      <c r="F39" s="6" t="inlineStr">
        <is>
          <t>Penghapusan baru berjalan setelah jumlahnya diketik benar; radio terhapus dan tercatat di Audit Log. Hanya untuk data salah input.</t>
        </is>
      </c>
      <c r="G39" s="12" t="n"/>
      <c r="H39" s="6" t="n"/>
      <c r="I39" s="6" t="n"/>
      <c r="J39" s="13" t="n"/>
    </row>
    <row r="40">
      <c r="A40" s="11" t="inlineStr">
        <is>
          <t>UAT-DET-01</t>
        </is>
      </c>
      <c r="B40" s="6" t="inlineStr">
        <is>
          <t>Detail radio, serah terima dan cetak form</t>
        </is>
      </c>
      <c r="C40" s="6" t="inlineStr">
        <is>
          <t>VR</t>
        </is>
      </c>
      <c r="D40" s="6" t="inlineStr">
        <is>
          <t>Halaman detail radio</t>
        </is>
      </c>
      <c r="E40" s="6" t="inlineStr">
        <is>
          <t>1. Klik sebuah baris di Register Radio.</t>
        </is>
      </c>
      <c r="F40" s="6" t="inlineStr">
        <is>
          <t>Detail menampilkan Radio ID, MDC Code, SN, posisi dan kondisi, kartu Hasil cek (bila ada), tiga kartu data, riwayat (terbaru di atas) dan Data asli Excel untuk radio hasil impor. Viewer tidak melihat tombol Edit, Serah terima, Arsipkan dan hapus.</t>
        </is>
      </c>
      <c r="G40" s="12" t="n"/>
      <c r="H40" s="6" t="n"/>
      <c r="I40" s="6" t="n"/>
      <c r="J40" s="13" t="n"/>
    </row>
    <row r="41">
      <c r="A41" s="11" t="inlineStr">
        <is>
          <t>UAT-DET-02</t>
        </is>
      </c>
      <c r="B41" s="6" t="inlineStr">
        <is>
          <t>Detail radio, serah terima dan cetak form</t>
        </is>
      </c>
      <c r="C41" s="6" t="inlineStr">
        <is>
          <t>AR</t>
        </is>
      </c>
      <c r="D41" s="6" t="inlineStr">
        <is>
          <t>Tambah riwayat manual</t>
        </is>
      </c>
      <c r="E41" s="6" t="inlineStr">
        <is>
          <t>1. Di detail radio, klik Tambah riwayat.
2. Pilih jenis Program, isi tanggal hari ini dan keterangan, lalu simpan.</t>
        </is>
      </c>
      <c r="F41" s="6" t="inlineStr">
        <is>
          <t>Kejadian baru muncul paling atas di riwayat radio dan di Riwayat Radio; tanggal program terakhir radio ikut diperbarui.</t>
        </is>
      </c>
      <c r="G41" s="12" t="n"/>
      <c r="H41" s="6" t="n"/>
      <c r="I41" s="6" t="n"/>
      <c r="J41" s="13" t="n"/>
    </row>
    <row r="42">
      <c r="A42" s="11" t="inlineStr">
        <is>
          <t>UAT-DET-03</t>
        </is>
      </c>
      <c r="B42" s="6" t="inlineStr">
        <is>
          <t>Detail radio, serah terima dan cetak form</t>
        </is>
      </c>
      <c r="C42" s="6" t="inlineStr">
        <is>
          <t>AR</t>
        </is>
      </c>
      <c r="D42" s="6" t="inlineStr">
        <is>
          <t>Hapus radio dari detail</t>
        </is>
      </c>
      <c r="E42" s="6" t="inlineStr">
        <is>
          <t>1. Di detail radio uji, klik Hapus.
2. Ketik Radio ID-nya sebagai konfirmasi.</t>
        </is>
      </c>
      <c r="F42" s="6" t="inlineStr">
        <is>
          <t>Radio terhapus hanya setelah Radio ID diketik benar, dan tercatat di Audit Log.</t>
        </is>
      </c>
      <c r="G42" s="12" t="n"/>
      <c r="H42" s="6" t="n"/>
      <c r="I42" s="6" t="n"/>
      <c r="J42" s="13" t="n"/>
    </row>
    <row r="43">
      <c r="A43" s="11" t="inlineStr">
        <is>
          <t>UAT-DET-04</t>
        </is>
      </c>
      <c r="B43" s="6" t="inlineStr">
        <is>
          <t>Detail radio, serah terima dan cetak form</t>
        </is>
      </c>
      <c r="C43" s="6" t="inlineStr">
        <is>
          <t>AR</t>
        </is>
      </c>
      <c r="D43" s="6" t="inlineStr">
        <is>
          <t>Serah terima dengan tanda tangan</t>
        </is>
      </c>
      <c r="E43" s="6" t="inlineStr">
        <is>
          <t>1. Di detail radio, klik Serah terima.
2. Cari Penerima di direktori karyawan (atau tulis namanya), isi No. BA, centang aksesori, pilih kondisi dan lokasi setelah serah terima.
3. Minta penerima menandatangani di kotak Tanda tangan penerima dan mencentang pernyataannya, lalu klik Konfirmasi serah terima.</t>
        </is>
      </c>
      <c r="F43" s="6" t="inlineStr">
        <is>
          <t>Tombol konfirmasi baru aktif setelah ada tanda tangan, dan No. BA wajib. Radio tercatat milik penerima, riwayat "Serah Terima" tertulis dengan No. BA, dan formulir checkout terbuka dengan tanda tangan penerima di RESPONSIBLE USER.</t>
        </is>
      </c>
      <c r="G43" s="12" t="n"/>
      <c r="H43" s="6" t="n"/>
      <c r="I43" s="6" t="n"/>
      <c r="J43" s="13" t="n"/>
    </row>
    <row r="44">
      <c r="A44" s="11" t="inlineStr">
        <is>
          <t>UAT-DET-05</t>
        </is>
      </c>
      <c r="B44" s="6" t="inlineStr">
        <is>
          <t>Detail radio, serah terima dan cetak form</t>
        </is>
      </c>
      <c r="C44" s="6" t="inlineStr">
        <is>
          <t>AR</t>
        </is>
      </c>
      <c r="D44" s="6" t="inlineStr">
        <is>
          <t>Tanda tangan serah terima tidak disimpan</t>
        </is>
      </c>
      <c r="E44" s="6" t="inlineStr">
        <is>
          <t>1. Setelah UAT-DET-04, tutup formulir, lalu buka Cetak form radio yang sama.
2. Lihat catatan serah terima itu di Audit Log.</t>
        </is>
      </c>
      <c r="F44" s="6" t="inlineStr">
        <is>
          <t>Kotak RESPONSIBLE USER kosong lagi; tanda tangan penerima tidak ada di aplikasi maupun di Audit Log, hanya di cetakannya.</t>
        </is>
      </c>
      <c r="G44" s="12" t="n"/>
      <c r="H44" s="6" t="n"/>
      <c r="I44" s="6" t="n"/>
      <c r="J44" s="13" t="n"/>
    </row>
    <row r="45">
      <c r="A45" s="11" t="inlineStr">
        <is>
          <t>UAT-DET-06</t>
        </is>
      </c>
      <c r="B45" s="6" t="inlineStr">
        <is>
          <t>Detail radio, serah terima dan cetak form</t>
        </is>
      </c>
      <c r="C45" s="6" t="inlineStr">
        <is>
          <t>VR</t>
        </is>
      </c>
      <c r="D45" s="6" t="inlineStr">
        <is>
          <t>Cetak form checkout</t>
        </is>
      </c>
      <c r="E45" s="6" t="inlineStr">
        <is>
          <t>1. Klik Cetak form di detail radio (atau ikon printer di Register Radio).
2. Periksa isian otomatis, tanda tangani kotak RESPONSIBLE USER di layar, lalu Pakai tanda tangan.
3. Klik Cetak, lalu tutup pop-up dengan Tutup.</t>
        </is>
      </c>
      <c r="F45" s="6" t="inlineStr">
        <is>
          <t>IT Equipment Checkout Form (MTI-HRM-ICT-FRM-001 Rev.000) terisi dari register: No. ID, Merk &amp; Type, Serial Number, nama dan department; pilihan HT atau RIG yang bukan jenisnya tercoret; muat satu halaman A4. Klik di luar pop-up atau Esc tidak menutupnya.</t>
        </is>
      </c>
      <c r="G45" s="12" t="n"/>
      <c r="H45" s="6" t="n"/>
      <c r="I45" s="6" t="n"/>
      <c r="J45" s="13" t="n"/>
    </row>
    <row r="46">
      <c r="A46" s="11" t="inlineStr">
        <is>
          <t>UAT-DET-07</t>
        </is>
      </c>
      <c r="B46" s="6" t="inlineStr">
        <is>
          <t>Detail radio, serah terima dan cetak form</t>
        </is>
      </c>
      <c r="C46" s="6" t="inlineStr">
        <is>
          <t>SA</t>
        </is>
      </c>
      <c r="D46" s="6" t="inlineStr">
        <is>
          <t>Tanda tangan PROCESSED BY dari E-Sign Master</t>
        </is>
      </c>
      <c r="E46" s="6" t="inlineStr">
        <is>
          <t>1. Masuk dengan akun yang punya tanda tangan di E-Sign Master, lalu buka Cetak form sebuah radio.
2. Ulangi dengan akun tanpa tanda tangan.</t>
        </is>
      </c>
      <c r="F46" s="6" t="inlineStr">
        <is>
          <t>Akun pertama: tanda tangan dan namanya muncul di PROCESSED BY, dan pemakaiannya tercatat di riwayat pemakaian E-Sign. Akun kedua: kotak PROCESSED BY kosong untuk ditandatangani di kertas.</t>
        </is>
      </c>
      <c r="G46" s="12" t="n"/>
      <c r="H46" s="6" t="n"/>
      <c r="I46" s="6" t="n"/>
      <c r="J46" s="13" t="n"/>
    </row>
    <row r="47">
      <c r="A47" s="11" t="inlineStr">
        <is>
          <t>UAT-ATT-01</t>
        </is>
      </c>
      <c r="B47" s="6" t="inlineStr">
        <is>
          <t>Perlu Perhatian</t>
        </is>
      </c>
      <c r="C47" s="6" t="inlineStr">
        <is>
          <t>AR</t>
        </is>
      </c>
      <c r="D47" s="6" t="inlineStr">
        <is>
          <t>Halaman Perlu Perhatian</t>
        </is>
      </c>
      <c r="E47" s="6" t="inlineStr">
        <is>
          <t>1. Buka Perlu Perhatian.
2. Pilih satu jenis cek di kiri, lalu satu item di tengah.
3. Klik Jalankan cek sekarang.</t>
        </is>
      </c>
      <c r="F47" s="6" t="inlineStr">
        <is>
          <t>Kiri: jenis cek dengan jumlah item terbuka; tengah: itemnya; kanan: rincian, pilihan perbaikan dan penugasan. Angka merah di sidebar sama dengan jumlah item terbuka; cek dijalankan ulang saat itu juga.</t>
        </is>
      </c>
      <c r="G47" s="12" t="n"/>
      <c r="H47" s="6" t="n"/>
      <c r="I47" s="6" t="n"/>
      <c r="J47" s="13" t="n"/>
    </row>
    <row r="48">
      <c r="A48" s="11" t="inlineStr">
        <is>
          <t>UAT-ATT-02</t>
        </is>
      </c>
      <c r="B48" s="6" t="inlineStr">
        <is>
          <t>Perlu Perhatian</t>
        </is>
      </c>
      <c r="C48" s="6" t="inlineStr">
        <is>
          <t>AR</t>
        </is>
      </c>
      <c r="D48" s="6" t="inlineStr">
        <is>
          <t>Memperbaiki Radio ID yang mengandung F</t>
        </is>
      </c>
      <c r="E48" s="6" t="inlineStr">
        <is>
          <t>1. Pilih item di Radio ID mengandung F.
2. Pilih Pakai ID berikutnya yang bisa dipakai, lalu Terapkan.</t>
        </is>
      </c>
      <c r="F48" s="6" t="inlineStr">
        <is>
          <t>Radio mendapat ID baru yang MDC-nya tanpa F; riwayat dan Audit Log mencatatnya; item hilang dari daftar dan angka di sidebar berkurang.</t>
        </is>
      </c>
      <c r="G48" s="12" t="n"/>
      <c r="H48" s="6" t="n"/>
      <c r="I48" s="6" t="n"/>
      <c r="J48" s="13" t="n"/>
    </row>
    <row r="49">
      <c r="A49" s="11" t="inlineStr">
        <is>
          <t>UAT-ATT-03</t>
        </is>
      </c>
      <c r="B49" s="6" t="inlineStr">
        <is>
          <t>Perlu Perhatian</t>
        </is>
      </c>
      <c r="C49" s="6" t="inlineStr">
        <is>
          <t>AR</t>
        </is>
      </c>
      <c r="D49" s="6" t="inlineStr">
        <is>
          <t>Mencatat verifikasi hari ini</t>
        </is>
      </c>
      <c r="E49" s="6" t="inlineStr">
        <is>
          <t>1. Pilih item di Verifikasi lewat 12 bulan (atau Tgl verifikasi kosong).
2. Pilih Catat verifikasi hari ini, lalu Terapkan.</t>
        </is>
      </c>
      <c r="F49" s="6" t="inlineStr">
        <is>
          <t>Tanggal verifikasi radio menjadi hari ini, riwayat "Verifikasi" tercatat, dan item selesai.</t>
        </is>
      </c>
      <c r="G49" s="12" t="n"/>
      <c r="H49" s="6" t="n"/>
      <c r="I49" s="6" t="n"/>
      <c r="J49" s="13" t="n"/>
    </row>
    <row r="50">
      <c r="A50" s="11" t="inlineStr">
        <is>
          <t>UAT-ATT-04</t>
        </is>
      </c>
      <c r="B50" s="6" t="inlineStr">
        <is>
          <t>Perlu Perhatian</t>
        </is>
      </c>
      <c r="C50" s="6" t="inlineStr">
        <is>
          <t>AR</t>
        </is>
      </c>
      <c r="D50" s="6" t="inlineStr">
        <is>
          <t>SN dobel</t>
        </is>
      </c>
      <c r="E50" s="6" t="inlineStr">
        <is>
          <t>1. Pilih item di SN dobel.
2. Bandingkan radio-radionya, lalu pilih Arsipkan radio … sebagai duplikat dan Terapkan.</t>
        </is>
      </c>
      <c r="F50" s="6" t="inlineStr">
        <is>
          <t>Radio-radio tampil berdampingan dengan kolom yang berbeda ditandai; radio duplikat diarsipkan (riwayatnya tetap ada) dan item selesai.</t>
        </is>
      </c>
      <c r="G50" s="12" t="n"/>
      <c r="H50" s="6" t="n"/>
      <c r="I50" s="6" t="n"/>
      <c r="J50" s="13" t="n"/>
    </row>
    <row r="51">
      <c r="A51" s="11" t="inlineStr">
        <is>
          <t>UAT-ATT-05</t>
        </is>
      </c>
      <c r="B51" s="6" t="inlineStr">
        <is>
          <t>Perlu Perhatian</t>
        </is>
      </c>
      <c r="C51" s="6" t="inlineStr">
        <is>
          <t>AR</t>
        </is>
      </c>
      <c r="D51" s="6" t="inlineStr">
        <is>
          <t>Mengabaikan dengan alasan</t>
        </is>
      </c>
      <c r="E51" s="6" t="inlineStr">
        <is>
          <t>1. Pilih satu item, lalu klik Abaikan tanpa alasan.
2. Isi alasannya, lalu Abaikan lagi.
3. Ubah data radio itu di Register Radio, lalu Jalankan cek sekarang.</t>
        </is>
      </c>
      <c r="F51" s="6" t="inlineStr">
        <is>
          <t>Tanpa alasan ditolak; dengan alasan item tertutup. Setelah data radionya berubah, item muncul lagi bila masalahnya masih ada.</t>
        </is>
      </c>
      <c r="G51" s="12" t="n"/>
      <c r="H51" s="6" t="n"/>
      <c r="I51" s="6" t="n"/>
      <c r="J51" s="13" t="n"/>
    </row>
    <row r="52">
      <c r="A52" s="11" t="inlineStr">
        <is>
          <t>UAT-ATT-06</t>
        </is>
      </c>
      <c r="B52" s="6" t="inlineStr">
        <is>
          <t>Perlu Perhatian</t>
        </is>
      </c>
      <c r="C52" s="6" t="inlineStr">
        <is>
          <t>AR</t>
        </is>
      </c>
      <c r="D52" s="6" t="inlineStr">
        <is>
          <t>Menugaskan item</t>
        </is>
      </c>
      <c r="E52" s="6" t="inlineStr">
        <is>
          <t>1. Pilih satu item, lalu pilih nama di Ditugaskan ke.
2. Masuk sebagai orang itu, buka Perlu Perhatian dan pilih Tugas saya.</t>
        </is>
      </c>
      <c r="F52" s="6" t="inlineStr">
        <is>
          <t>Item tampil di Tugas saya orang tersebut dan tidak lagi di Belum ditugaskan; Audit Log mencatat penugasannya.</t>
        </is>
      </c>
      <c r="G52" s="12" t="n"/>
      <c r="H52" s="6" t="n"/>
      <c r="I52" s="6" t="n"/>
      <c r="J52" s="13" t="n"/>
    </row>
    <row r="53">
      <c r="A53" s="11" t="inlineStr">
        <is>
          <t>UAT-SRV-01</t>
        </is>
      </c>
      <c r="B53" s="6" t="inlineStr">
        <is>
          <t>Servis &amp; Perbaikan</t>
        </is>
      </c>
      <c r="C53" s="6" t="inlineStr">
        <is>
          <t>AR</t>
        </is>
      </c>
      <c r="D53" s="6" t="inlineStr">
        <is>
          <t>Membuat tiket servis</t>
        </is>
      </c>
      <c r="E53" s="6" t="inlineStr">
        <is>
          <t>1. Buka Servis &amp; Perbaikan, klik Tiket baru.
2. Pilih radio, isi Masalah dan Dilaporkan oleh, lalu simpan.</t>
        </is>
      </c>
      <c r="F53" s="6" t="inlineStr">
        <is>
          <t>Tiket bernomor SRV-xxxx muncul di langkah Dilaporkan, dan pesan "Tiket SRV-xxxx dibuat." tampil.</t>
        </is>
      </c>
      <c r="G53" s="12" t="n"/>
      <c r="H53" s="6" t="n"/>
      <c r="I53" s="6" t="n"/>
      <c r="J53" s="13" t="n"/>
    </row>
    <row r="54">
      <c r="A54" s="11" t="inlineStr">
        <is>
          <t>UAT-SRV-02</t>
        </is>
      </c>
      <c r="B54" s="6" t="inlineStr">
        <is>
          <t>Servis &amp; Perbaikan</t>
        </is>
      </c>
      <c r="C54" s="6" t="inlineStr">
        <is>
          <t>AR</t>
        </is>
      </c>
      <c r="D54" s="6" t="inlineStr">
        <is>
          <t>Satu tiket terbuka per radio</t>
        </is>
      </c>
      <c r="E54" s="6" t="inlineStr">
        <is>
          <t>1. Coba buat tiket kedua untuk radio dari UAT-SRV-01.
2. Coba buat tiket untuk radio yang diarsipkan.</t>
        </is>
      </c>
      <c r="F54" s="6" t="inlineStr">
        <is>
          <t>Keduanya tidak bisa: radio itu tidak bisa dipilih atau penyimpanan ditolak dengan alasannya.</t>
        </is>
      </c>
      <c r="G54" s="12" t="n"/>
      <c r="H54" s="6" t="n"/>
      <c r="I54" s="6" t="n"/>
      <c r="J54" s="13" t="n"/>
    </row>
    <row r="55">
      <c r="A55" s="11" t="inlineStr">
        <is>
          <t>UAT-SRV-03</t>
        </is>
      </c>
      <c r="B55" s="6" t="inlineStr">
        <is>
          <t>Servis &amp; Perbaikan</t>
        </is>
      </c>
      <c r="C55" s="6" t="inlineStr">
        <is>
          <t>AR</t>
        </is>
      </c>
      <c r="D55" s="6" t="inlineStr">
        <is>
          <t>Kirim ke servis</t>
        </is>
      </c>
      <c r="E55" s="6" t="inlineStr">
        <is>
          <t>1. Buka tiket dari UAT-SRV-01, klik Kirim ke servis.
2. Isi Pusat servis (wajib), tanggal kirim, No. BA dan perkiraan kembali, lalu simpan.</t>
        </is>
      </c>
      <c r="F55" s="6" t="inlineStr">
        <is>
          <t>Tiket pindah ke Dikirim ke servis; posisi radio menjadi Service, dan riwayat "Service" tercatat dengan nomor tiket dan No. BA.</t>
        </is>
      </c>
      <c r="G55" s="12" t="n"/>
      <c r="H55" s="6" t="n"/>
      <c r="I55" s="6" t="n"/>
      <c r="J55" s="13" t="n"/>
    </row>
    <row r="56">
      <c r="A56" s="11" t="inlineStr">
        <is>
          <t>UAT-SRV-04</t>
        </is>
      </c>
      <c r="B56" s="6" t="inlineStr">
        <is>
          <t>Servis &amp; Perbaikan</t>
        </is>
      </c>
      <c r="C56" s="6" t="inlineStr">
        <is>
          <t>AR</t>
        </is>
      </c>
      <c r="D56" s="6" t="inlineStr">
        <is>
          <t>Dari dalam perbaikan sampai kembali</t>
        </is>
      </c>
      <c r="E56" s="6" t="inlineStr">
        <is>
          <t>1. Klik Tandai dalam perbaikan, lalu Tandai siap diambil dengan biayanya.
2. Klik Tandai sudah kembali: isi tanggal kembali, Lokasi radio sesudahnya dan Kondisi saat kembali (wajib).</t>
        </is>
      </c>
      <c r="F56" s="6" t="inlineStr">
        <is>
          <t>Tiket melewati Dalam perbaikan, Siap diambil, lalu Kembali; posisi dan kondisi radio diperbarui dan riwayat "Service" tercatat; biayanya masuk ke angka biaya kuartal ini.</t>
        </is>
      </c>
      <c r="G56" s="12" t="n"/>
      <c r="H56" s="6" t="n"/>
      <c r="I56" s="6" t="n"/>
      <c r="J56" s="13" t="n"/>
    </row>
    <row r="57">
      <c r="A57" s="11" t="inlineStr">
        <is>
          <t>UAT-SRV-05</t>
        </is>
      </c>
      <c r="B57" s="6" t="inlineStr">
        <is>
          <t>Servis &amp; Perbaikan</t>
        </is>
      </c>
      <c r="C57" s="6" t="inlineStr">
        <is>
          <t>VR</t>
        </is>
      </c>
      <c r="D57" s="6" t="inlineStr">
        <is>
          <t>Board, List dan rincian tiket</t>
        </is>
      </c>
      <c r="E57" s="6" t="inlineStr">
        <is>
          <t>1. Ganti tampilan Board dan List, cari dengan Radio ID atau SN, lalu saring per pusat servis.
2. Klik sebuah tiket.</t>
        </is>
      </c>
      <c r="F57" s="6" t="inlineStr">
        <is>
          <t>Empat angka di atas (tiket terbuka, rata-rata lama servis, terlambat, biaya kuartal ini) tampil; daftar mengikuti cari dan filter; rincian tiket menampilkan langkah, fakta, aktivitas dan tautan Buka radio. Viewer tidak melihat tombol langkah dan Tiket baru.</t>
        </is>
      </c>
      <c r="G57" s="12" t="n"/>
      <c r="H57" s="6" t="n"/>
      <c r="I57" s="6" t="n"/>
      <c r="J57" s="13" t="n"/>
    </row>
    <row r="58">
      <c r="A58" s="11" t="inlineStr">
        <is>
          <t>UAT-SRV-06</t>
        </is>
      </c>
      <c r="B58" s="6" t="inlineStr">
        <is>
          <t>Servis &amp; Perbaikan</t>
        </is>
      </c>
      <c r="C58" s="6" t="inlineStr">
        <is>
          <t>AR</t>
        </is>
      </c>
      <c r="D58" s="6" t="inlineStr">
        <is>
          <t>Catatan dan Export</t>
        </is>
      </c>
      <c r="E58" s="6" t="inlineStr">
        <is>
          <t>1. Di rincian tiket, tulis catatan dengan Tambah catatan.
2. Klik Export dan buka filenya.</t>
        </is>
      </c>
      <c r="F58" s="6" t="inlineStr">
        <is>
          <t>Catatan muncul di aktivitas tiket. File Excel berisi semua tiket, termasuk yang sudah kembali.</t>
        </is>
      </c>
      <c r="G58" s="12" t="n"/>
      <c r="H58" s="6" t="n"/>
      <c r="I58" s="6" t="n"/>
      <c r="J58" s="13" t="n"/>
    </row>
    <row r="59">
      <c r="A59" s="11" t="inlineStr">
        <is>
          <t>UAT-SRV-07</t>
        </is>
      </c>
      <c r="B59" s="6" t="inlineStr">
        <is>
          <t>Servis &amp; Perbaikan</t>
        </is>
      </c>
      <c r="C59" s="6" t="inlineStr">
        <is>
          <t>AR</t>
        </is>
      </c>
      <c r="D59" s="6" t="inlineStr">
        <is>
          <t>Dua orang memindah langkah tiket yang sama</t>
        </is>
      </c>
      <c r="E59" s="6" t="inlineStr">
        <is>
          <t>1. Dua penguji membuka tiket yang sama.
2. Penguji pertama memindah langkahnya, lalu penguji kedua memindah langkah yang sama.</t>
        </is>
      </c>
      <c r="F59" s="6" t="inlineStr">
        <is>
          <t>Pemindahan kedua ditolak: "Tiket ini sudah dipindah orang lain. Muat ulang halaman."</t>
        </is>
      </c>
      <c r="G59" s="12" t="n"/>
      <c r="H59" s="6" t="n"/>
      <c r="I59" s="6" t="n"/>
      <c r="J59" s="13" t="n"/>
    </row>
    <row r="60">
      <c r="A60" s="11" t="inlineStr">
        <is>
          <t>UAT-OPN-01</t>
        </is>
      </c>
      <c r="B60" s="6" t="inlineStr">
        <is>
          <t>Stock Opname</t>
        </is>
      </c>
      <c r="C60" s="6" t="inlineStr">
        <is>
          <t>AR</t>
        </is>
      </c>
      <c r="D60" s="6" t="inlineStr">
        <is>
          <t>Memulai sesi stock opname</t>
        </is>
      </c>
      <c r="E60" s="6" t="inlineStr">
        <is>
          <t>1. Buka Stock Opname di ponsel.
2. Pilih Department (dan Company bila perlu), lalu Mulai sesi.</t>
        </is>
      </c>
      <c r="F60" s="6" t="inlineStr">
        <is>
          <t>Halaman tanpa sidebar menyebut jumlah radio yang diharapkan dan opname terakhir, lalu sesi baru dimulai. Bila sesi department itu masih terbuka, tombolnya Lanjutkan sesi.</t>
        </is>
      </c>
      <c r="G60" s="12" t="n"/>
      <c r="H60" s="6" t="n"/>
      <c r="I60" s="6" t="n"/>
      <c r="J60" s="13" t="n"/>
    </row>
    <row r="61">
      <c r="A61" s="11" t="inlineStr">
        <is>
          <t>UAT-OPN-02</t>
        </is>
      </c>
      <c r="B61" s="6" t="inlineStr">
        <is>
          <t>Stock Opname</t>
        </is>
      </c>
      <c r="C61" s="6" t="inlineStr">
        <is>
          <t>AR</t>
        </is>
      </c>
      <c r="D61" s="6" t="inlineStr">
        <is>
          <t>Memindai barcode SN</t>
        </is>
      </c>
      <c r="E61" s="6" t="inlineStr">
        <is>
          <t>1. Di Chrome Android, pindai barcode SN sebuah radio dengan kamera.
2. Di browser lain, ketik Radio ID atau SN, lalu klik Cari.</t>
        </is>
      </c>
      <c r="F61" s="6" t="inlineStr">
        <is>
          <t>Radio yang ditemukan tampil dengan pemegang dan kondisinya di register.</t>
        </is>
      </c>
      <c r="G61" s="12" t="n"/>
      <c r="H61" s="6" t="n"/>
      <c r="I61" s="6" t="n"/>
      <c r="J61" s="13" t="n"/>
    </row>
    <row r="62">
      <c r="A62" s="11" t="inlineStr">
        <is>
          <t>UAT-OPN-03</t>
        </is>
      </c>
      <c r="B62" s="6" t="inlineStr">
        <is>
          <t>Stock Opname</t>
        </is>
      </c>
      <c r="C62" s="6" t="inlineStr">
        <is>
          <t>AR</t>
        </is>
      </c>
      <c r="D62" s="6" t="inlineStr">
        <is>
          <t>Radio yang tidak ada di register</t>
        </is>
      </c>
      <c r="E62" s="6" t="inlineStr">
        <is>
          <t>1. Ketik SN yang tidak ada di register, lalu Cari.</t>
        </is>
      </c>
      <c r="F62" s="6" t="inlineStr">
        <is>
          <t>Pesan "Radio dengan Radio ID atau SN itu tidak ada di register."</t>
        </is>
      </c>
      <c r="G62" s="12" t="n"/>
      <c r="H62" s="6" t="n"/>
      <c r="I62" s="6" t="n"/>
      <c r="J62" s="13" t="n"/>
    </row>
    <row r="63">
      <c r="A63" s="11" t="inlineStr">
        <is>
          <t>UAT-OPN-04</t>
        </is>
      </c>
      <c r="B63" s="6" t="inlineStr">
        <is>
          <t>Stock Opname</t>
        </is>
      </c>
      <c r="C63" s="6" t="inlineStr">
        <is>
          <t>AR</t>
        </is>
      </c>
      <c r="D63" s="6" t="inlineStr">
        <is>
          <t>Memeriksa radio</t>
        </is>
      </c>
      <c r="E63" s="6" t="inlineStr">
        <is>
          <t>1. Untuk radio yang ditemukan, jawab Siapa yang memegang sekarang? (misalnya Orang lain dengan namanya), pilih kondisi dan isi catatan.
2. Klik Verifikasi radio.</t>
        </is>
      </c>
      <c r="F63" s="6" t="inlineStr">
        <is>
          <t>Pindaian langsung tersimpan, dan radio terhitung di sesi.</t>
        </is>
      </c>
      <c r="G63" s="12" t="n"/>
      <c r="H63" s="6" t="n"/>
      <c r="I63" s="6" t="n"/>
      <c r="J63" s="13" t="n"/>
    </row>
    <row r="64">
      <c r="A64" s="11" t="inlineStr">
        <is>
          <t>UAT-OPN-05</t>
        </is>
      </c>
      <c r="B64" s="6" t="inlineStr">
        <is>
          <t>Stock Opname</t>
        </is>
      </c>
      <c r="C64" s="6" t="inlineStr">
        <is>
          <t>AR</t>
        </is>
      </c>
      <c r="D64" s="6" t="inlineStr">
        <is>
          <t>Melaporkan masalah dari opname</t>
        </is>
      </c>
      <c r="E64" s="6" t="inlineStr">
        <is>
          <t>1. Untuk radio yang bermasalah, tulis masalahnya di catatan, lalu klik Laporkan masalah.</t>
        </is>
      </c>
      <c r="F64" s="6" t="inlineStr">
        <is>
          <t>Tiket baru dibuat di Servis &amp; Perbaikan untuk radio itu (butuh izin Tambah di Servis &amp; Perbaikan).</t>
        </is>
      </c>
      <c r="G64" s="12" t="n"/>
      <c r="H64" s="6" t="n"/>
      <c r="I64" s="6" t="n"/>
      <c r="J64" s="13" t="n"/>
    </row>
    <row r="65">
      <c r="A65" s="11" t="inlineStr">
        <is>
          <t>UAT-OPN-06</t>
        </is>
      </c>
      <c r="B65" s="6" t="inlineStr">
        <is>
          <t>Stock Opname</t>
        </is>
      </c>
      <c r="C65" s="6" t="inlineStr">
        <is>
          <t>AR</t>
        </is>
      </c>
      <c r="D65" s="6" t="inlineStr">
        <is>
          <t>Ringkasan dan kirim ke register</t>
        </is>
      </c>
      <c r="E65" s="6" t="inlineStr">
        <is>
          <t>1. Klik Lihat ringkasan.
2. Klik Kirim ke register.</t>
        </is>
      </c>
      <c r="F65" s="6" t="inlineStr">
        <is>
          <t>Ringkasan menyebut terverifikasi, tidak ditemukan, pemegang lain dan department lain. Setelah dikirim, setiap radio yang ditemukan mendapat riwayat "Verifikasi", kondisi yang berubah diperbarui, dan sesi selesai.</t>
        </is>
      </c>
      <c r="G65" s="12" t="n"/>
      <c r="H65" s="6" t="n"/>
      <c r="I65" s="6" t="n"/>
      <c r="J65" s="13" t="n"/>
    </row>
    <row r="66">
      <c r="A66" s="11" t="inlineStr">
        <is>
          <t>UAT-HIS-01</t>
        </is>
      </c>
      <c r="B66" s="6" t="inlineStr">
        <is>
          <t>Riwayat Radio</t>
        </is>
      </c>
      <c r="C66" s="6" t="inlineStr">
        <is>
          <t>VR</t>
        </is>
      </c>
      <c r="D66" s="6" t="inlineStr">
        <is>
          <t>Menyaring Riwayat Radio</t>
        </is>
      </c>
      <c r="E66" s="6" t="inlineStr">
        <is>
          <t>1. Buka Riwayat Radio.
2. Ketik di kotak cari, pilih beberapa Jenis, lalu isi Dari tanggal dan Sampai tanggal di kalender.</t>
        </is>
      </c>
      <c r="F66" s="6" t="inlineStr">
        <is>
          <t>Daftar langsung mengikuti filter; setiap jenis menunjukkan jumlahnya; kejadian di luar rentang tanggal tidak tampil.</t>
        </is>
      </c>
      <c r="G66" s="12" t="n"/>
      <c r="H66" s="6" t="n"/>
      <c r="I66" s="6" t="n"/>
      <c r="J66" s="13" t="n"/>
    </row>
    <row r="67">
      <c r="A67" s="11" t="inlineStr">
        <is>
          <t>UAT-HIS-02</t>
        </is>
      </c>
      <c r="B67" s="6" t="inlineStr">
        <is>
          <t>Riwayat Radio</t>
        </is>
      </c>
      <c r="C67" s="6" t="inlineStr">
        <is>
          <t>VR</t>
        </is>
      </c>
      <c r="D67" s="6" t="inlineStr">
        <is>
          <t>Isi Riwayat Radio</t>
        </is>
      </c>
      <c r="E67" s="6" t="inlineStr">
        <is>
          <t>1. Cari radio yang dipakai di skenario sebelumnya (serah terima, servis, verifikasi, arsip).</t>
        </is>
      </c>
      <c r="F67" s="6" t="inlineStr">
        <is>
          <t>Setiap kejadian dari skenario itu tampil dengan tanggal, jenis, user, no. dokumen dan keterangannya, dengan tautan ke radionya.</t>
        </is>
      </c>
      <c r="G67" s="12" t="n"/>
      <c r="H67" s="6" t="n"/>
      <c r="I67" s="6" t="n"/>
      <c r="J67" s="13" t="n"/>
    </row>
    <row r="68">
      <c r="A68" s="11" t="inlineStr">
        <is>
          <t>UAT-MDR-01</t>
        </is>
      </c>
      <c r="B68" s="6" t="inlineStr">
        <is>
          <t>Master Data Radio</t>
        </is>
      </c>
      <c r="C68" s="6" t="inlineStr">
        <is>
          <t>AR</t>
        </is>
      </c>
      <c r="D68" s="6" t="inlineStr">
        <is>
          <t>Menambah Tipe Radio</t>
        </is>
      </c>
      <c r="E68" s="6" t="inlineStr">
        <is>
          <t>1. Buka Master Data Radio → Tipe Radio, klik Tambah Tipe Radio.
2. Isi Nama Tipe, Kategori dan Daya, centang Aktif, lalu simpan.
3. Buka form Tambah radio.</t>
        </is>
      </c>
      <c r="F68" s="6" t="inlineStr">
        <is>
          <t>Tipe baru ada di daftar dan bisa dipilih di form radio; radio bertipe itu mendapat kategori dan daya tipenya.</t>
        </is>
      </c>
      <c r="G68" s="12" t="n"/>
      <c r="H68" s="6" t="n"/>
      <c r="I68" s="6" t="n"/>
      <c r="J68" s="13" t="n"/>
    </row>
    <row r="69">
      <c r="A69" s="11" t="inlineStr">
        <is>
          <t>UAT-MDR-02</t>
        </is>
      </c>
      <c r="B69" s="6" t="inlineStr">
        <is>
          <t>Master Data Radio</t>
        </is>
      </c>
      <c r="C69" s="6" t="inlineStr">
        <is>
          <t>AR</t>
        </is>
      </c>
      <c r="D69" s="6" t="inlineStr">
        <is>
          <t>Pemilik Aset dan Owner</t>
        </is>
      </c>
      <c r="E69" s="6" t="inlineStr">
        <is>
          <t>1. Di form radio, pilih Pemilik Aset perusahaan berkode MTI, lalu simpan.
2. Ganti ke perusahaan lain, lalu simpan.</t>
        </is>
      </c>
      <c r="F69" s="6" t="inlineStr">
        <is>
          <t>Owner radio menjadi MTI untuk perusahaan berkode MTI, dan Non MTI untuk perusahaan lain.</t>
        </is>
      </c>
      <c r="G69" s="12" t="n"/>
      <c r="H69" s="6" t="n"/>
      <c r="I69" s="6" t="n"/>
      <c r="J69" s="13" t="n"/>
    </row>
    <row r="70">
      <c r="A70" s="11" t="inlineStr">
        <is>
          <t>UAT-MDR-03</t>
        </is>
      </c>
      <c r="B70" s="6" t="inlineStr">
        <is>
          <t>Master Data Radio</t>
        </is>
      </c>
      <c r="C70" s="6" t="inlineStr">
        <is>
          <t>AR</t>
        </is>
      </c>
      <c r="D70" s="6" t="inlineStr">
        <is>
          <t>Menonaktifkan dan menghapus master data</t>
        </is>
      </c>
      <c r="E70" s="6" t="inlineStr">
        <is>
          <t>1. Nonaktifkan satu Department yang dipakai radio.
2. Coba hapus Department itu, lalu hapus Department baru yang belum dipakai.</t>
        </is>
      </c>
      <c r="F70" s="6" t="inlineStr">
        <is>
          <t>Department nonaktif tidak bisa dipilih lagi untuk radio lain, dan radio yang sudah memakainya tidak berubah; menghapus yang dipakai ditolak, yang belum dipakai terhapus.</t>
        </is>
      </c>
      <c r="G70" s="12" t="n"/>
      <c r="H70" s="6" t="n"/>
      <c r="I70" s="6" t="n"/>
      <c r="J70" s="13" t="n"/>
    </row>
    <row r="71">
      <c r="A71" s="11" t="inlineStr">
        <is>
          <t>UAT-MDR-04</t>
        </is>
      </c>
      <c r="B71" s="6" t="inlineStr">
        <is>
          <t>Master Data Radio</t>
        </is>
      </c>
      <c r="C71" s="6" t="inlineStr">
        <is>
          <t>AR</t>
        </is>
      </c>
      <c r="D71" s="6" t="inlineStr">
        <is>
          <t>Template Channel dan program ulang</t>
        </is>
      </c>
      <c r="E71" s="6" t="inlineStr">
        <is>
          <t>1. Ubah Berlaku Sejak Template Channel yang dipakai radio uji menjadi hari ini.
2. Buka Perlu Perhatian, lalu Jalankan cek sekarang.</t>
        </is>
      </c>
      <c r="F71" s="6" t="inlineStr">
        <is>
          <t>Radio dengan template itu yang terakhir diprogram sebelum tanggal tersebut ditandai Perlu program ulang.</t>
        </is>
      </c>
      <c r="G71" s="12" t="n"/>
      <c r="H71" s="6" t="n"/>
      <c r="I71" s="6" t="n"/>
      <c r="J71" s="13" t="n"/>
    </row>
    <row r="72">
      <c r="A72" s="11" t="inlineStr">
        <is>
          <t>UAT-ESG-01</t>
        </is>
      </c>
      <c r="B72" s="6" t="inlineStr">
        <is>
          <t>E-Sign Master</t>
        </is>
      </c>
      <c r="C72" s="6" t="inlineStr">
        <is>
          <t>SA</t>
        </is>
      </c>
      <c r="D72" s="6" t="inlineStr">
        <is>
          <t>Mendaftarkan tanda tangan</t>
        </is>
      </c>
      <c r="E72" s="6" t="inlineStr">
        <is>
          <t>1. Buka Master Data Radio → E-Sign Master, klik Daftarkan tanda tangan.
2. Pilih akun petugas ICT, tanda tangani di kotaknya (atau unggah foto tanda tangan), lalu Simpan.</t>
        </is>
      </c>
      <c r="F72" s="6" t="inlineStr">
        <is>
          <t>Tanda tangan tampil di tampilan Grid dengan pratinjaunya; satu akun hanya bisa punya satu tanda tangan.</t>
        </is>
      </c>
      <c r="G72" s="12" t="n"/>
      <c r="H72" s="6" t="n"/>
      <c r="I72" s="6" t="n"/>
      <c r="J72" s="13" t="n"/>
    </row>
    <row r="73">
      <c r="A73" s="11" t="inlineStr">
        <is>
          <t>UAT-ESG-02</t>
        </is>
      </c>
      <c r="B73" s="6" t="inlineStr">
        <is>
          <t>E-Sign Master</t>
        </is>
      </c>
      <c r="C73" s="6" t="inlineStr">
        <is>
          <t>SA</t>
        </is>
      </c>
      <c r="D73" s="6" t="inlineStr">
        <is>
          <t>Mengelola tanda tangan</t>
        </is>
      </c>
      <c r="E73" s="6" t="inlineStr">
        <is>
          <t>1. Ganti tampilan Grid dan List, lalu muat ulang halaman.
2. Buka riwayat pemakaian sebuah tanda tangan, lalu nonaktifkan dan aktifkan lagi tanda tangan itu.</t>
        </is>
      </c>
      <c r="F73" s="6" t="inlineStr">
        <is>
          <t>Pilihan tampilan diingat; riwayat pemakaian menyebut setiap cetak form yang memakainya; tanda tangan nonaktif tidak muncul di PROCESSED BY.</t>
        </is>
      </c>
      <c r="G73" s="12" t="n"/>
      <c r="H73" s="6" t="n"/>
      <c r="I73" s="6" t="n"/>
      <c r="J73" s="13" t="n"/>
    </row>
    <row r="74">
      <c r="A74" s="11" t="inlineStr">
        <is>
          <t>UAT-ESG-03</t>
        </is>
      </c>
      <c r="B74" s="6" t="inlineStr">
        <is>
          <t>E-Sign Master</t>
        </is>
      </c>
      <c r="C74" s="6" t="inlineStr">
        <is>
          <t>AR</t>
        </is>
      </c>
      <c r="D74" s="6" t="inlineStr">
        <is>
          <t>E-Sign Master hanya untuk Super Admin</t>
        </is>
      </c>
      <c r="E74" s="6" t="inlineStr">
        <is>
          <t>1. Masuk sebagai Admin Radio dan buka Master Data Radio.</t>
        </is>
      </c>
      <c r="F74" s="6" t="inlineStr">
        <is>
          <t>Menu E-Sign Master tidak tampil; membuka alamatnya langsung menampilkan halaman tanpa akses.</t>
        </is>
      </c>
      <c r="G74" s="12" t="n"/>
      <c r="H74" s="6" t="n"/>
      <c r="I74" s="6" t="n"/>
      <c r="J74" s="13" t="n"/>
    </row>
    <row r="75">
      <c r="A75" s="11" t="inlineStr">
        <is>
          <t>UAT-IMP-01</t>
        </is>
      </c>
      <c r="B75" s="6" t="inlineStr">
        <is>
          <t>Import Excel</t>
        </is>
      </c>
      <c r="C75" s="6" t="inlineStr">
        <is>
          <t>AR</t>
        </is>
      </c>
      <c r="D75" s="6" t="inlineStr">
        <is>
          <t>Impor ke register kosong (salinan uji)</t>
        </is>
      </c>
      <c r="E75" s="6" t="inlineStr">
        <is>
          <t>1. Di salinan uji dengan register kosong, buka Import Excel, pilih file register lama (.xlsx), lalu Mulai impor.
2. Klik tautan Buka di Register Radio untuk radio yang ditandai Perlu dicek.</t>
        </is>
      </c>
      <c r="F75" s="6" t="inlineStr">
        <is>
          <t>Hasil tampil dalam kotak angka (dibaca, diimpor, dilewati, perlu dicek); radio muncul di Register Radio; radio yang Perlu dicek terbuka tersaring.</t>
        </is>
      </c>
      <c r="G75" s="12" t="n"/>
      <c r="H75" s="6" t="n"/>
      <c r="I75" s="6" t="n"/>
      <c r="J75" s="13" t="n"/>
    </row>
    <row r="76">
      <c r="A76" s="11" t="inlineStr">
        <is>
          <t>UAT-IMP-02</t>
        </is>
      </c>
      <c r="B76" s="6" t="inlineStr">
        <is>
          <t>Import Excel</t>
        </is>
      </c>
      <c r="C76" s="6" t="inlineStr">
        <is>
          <t>AR</t>
        </is>
      </c>
      <c r="D76" s="6" t="inlineStr">
        <is>
          <t>Impor ke register yang sudah berisi radio</t>
        </is>
      </c>
      <c r="E76" s="6" t="inlineStr">
        <is>
          <t>1. Pilih file dan klik Mulai impor tanpa mencentang kotak merah.
2. Centang kotak merah Hapus semua data radio &amp; riwayat yang ada sebelum impor, lalu Mulai impor.</t>
        </is>
      </c>
      <c r="F76" s="6" t="inlineStr">
        <is>
          <t>Tanpa centang, impor ditolak karena register sudah berisi radio. Dengan centang, aplikasi meminta konfirmasi sekali lagi; lanjutkan hanya di salinan uji.</t>
        </is>
      </c>
      <c r="G76" s="12" t="n"/>
      <c r="H76" s="6" t="n"/>
      <c r="I76" s="6" t="n"/>
      <c r="J76" s="13" t="n"/>
    </row>
    <row r="77">
      <c r="A77" s="11" t="inlineStr">
        <is>
          <t>UAT-IMP-03</t>
        </is>
      </c>
      <c r="B77" s="6" t="inlineStr">
        <is>
          <t>Import Excel</t>
        </is>
      </c>
      <c r="C77" s="6" t="inlineStr">
        <is>
          <t>AR</t>
        </is>
      </c>
      <c r="D77" s="6" t="inlineStr">
        <is>
          <t>Impor yang menghapus data lama ditolak</t>
        </is>
      </c>
      <c r="E77" s="6" t="inlineStr">
        <is>
          <t>1. Pastikan ada tiket servis terbuka (UAT-SRV-01) atau sesi stock opname terbuka.
2. Jalankan impor dengan kotak merah tercentang.</t>
        </is>
      </c>
      <c r="F77" s="6" t="inlineStr">
        <is>
          <t>Impor ditolak dengan pesan berapa tiket servis atau sesi stock opname yang masih terbuka; tidak ada data yang dihapus.</t>
        </is>
      </c>
      <c r="G77" s="12" t="n"/>
      <c r="H77" s="6" t="n"/>
      <c r="I77" s="6" t="n"/>
      <c r="J77" s="13" t="n"/>
    </row>
    <row r="78">
      <c r="A78" s="11" t="inlineStr">
        <is>
          <t>UAT-COF-01</t>
        </is>
      </c>
      <c r="B78" s="6" t="inlineStr">
        <is>
          <t>COF Scan</t>
        </is>
      </c>
      <c r="C78" s="6" t="inlineStr">
        <is>
          <t>DC</t>
        </is>
      </c>
      <c r="D78" s="6" t="inlineStr">
        <is>
          <t>Angka dan filter COF Scan</t>
        </is>
      </c>
      <c r="E78" s="6" t="inlineStr">
        <is>
          <t>1. Buka COF Scan dengan akun yang juga boleh membuka ICT Masterlist.
2. Klik Tinjau pada peringatan file yang tidak tertaut, lalu filter Semua, Tertaut dan Tidak tertaut.</t>
        </is>
      </c>
      <c r="F78" s="6" t="inlineStr">
        <is>
          <t>Tiga angka Sinkron terakhir, Tertaut ke baris dan Tidak tertaut untuk seluruh folder; Tinjau dan filter menampilkan file sesuai statusnya.</t>
        </is>
      </c>
      <c r="G78" s="12" t="n"/>
      <c r="H78" s="6" t="n"/>
      <c r="I78" s="6" t="n"/>
      <c r="J78" s="13" t="n"/>
    </row>
    <row r="79">
      <c r="A79" s="11" t="inlineStr">
        <is>
          <t>UAT-COF-02</t>
        </is>
      </c>
      <c r="B79" s="6" t="inlineStr">
        <is>
          <t>COF Scan</t>
        </is>
      </c>
      <c r="C79" s="6" t="inlineStr">
        <is>
          <t>DC</t>
        </is>
      </c>
      <c r="D79" s="6" t="inlineStr">
        <is>
          <t>Cari dan kolom Masterlist</t>
        </is>
      </c>
      <c r="E79" s="6" t="inlineStr">
        <is>
          <t>1. Cari dengan No. COF atau nama, lalu klik judul kolom untuk mengurutkan.
2. Klik tautan di kolom Masterlist sebuah file.</t>
        </is>
      </c>
      <c r="F79" s="6" t="inlineStr">
        <is>
          <t>Nama berpola ICTCOF123 - Nama.pdf terpecah menjadi No. COF dan Nama; kolom Masterlist menyebut barisnya ("Baris N", "Nama beda · baris N" atau "Tidak ada baris") dan membuka baris itu di ICT Masterlist.</t>
        </is>
      </c>
      <c r="G79" s="12" t="n"/>
      <c r="H79" s="6" t="n"/>
      <c r="I79" s="6" t="n"/>
      <c r="J79" s="13" t="n"/>
    </row>
    <row r="80">
      <c r="A80" s="11" t="inlineStr">
        <is>
          <t>UAT-COF-03</t>
        </is>
      </c>
      <c r="B80" s="6" t="inlineStr">
        <is>
          <t>COF Scan</t>
        </is>
      </c>
      <c r="C80" s="6" t="inlineStr">
        <is>
          <t>DC</t>
        </is>
      </c>
      <c r="D80" s="6" t="inlineStr">
        <is>
          <t>Melihat file scan</t>
        </is>
      </c>
      <c r="E80" s="6" t="inlineStr">
        <is>
          <t>1. Klik ikon mata (Lihat) pada sebuah file, lalu tombol berikutnya dan sebelumnya.
2. Klik nama file.</t>
        </is>
      </c>
      <c r="F80" s="6" t="inlineStr">
        <is>
          <t>PDF atau gambar (sampai 10 MB) tampil di pop-up dan bisa berpindah file; nama file membuka file itu di SharePoint dengan akun Microsoft penguji.</t>
        </is>
      </c>
      <c r="G80" s="12" t="n"/>
      <c r="H80" s="6" t="n"/>
      <c r="I80" s="6" t="n"/>
      <c r="J80" s="13" t="n"/>
    </row>
    <row r="81">
      <c r="A81" s="11" t="inlineStr">
        <is>
          <t>UAT-COF-04</t>
        </is>
      </c>
      <c r="B81" s="6" t="inlineStr">
        <is>
          <t>COF Scan</t>
        </is>
      </c>
      <c r="C81" s="6" t="inlineStr">
        <is>
          <t>DC</t>
        </is>
      </c>
      <c r="D81" s="6" t="inlineStr">
        <is>
          <t>Muat ulang dan Reset</t>
        </is>
      </c>
      <c r="E81" s="6" t="inlineStr">
        <is>
          <t>1. Unggah file uji ke folder COF di SharePoint, lalu klik Muat ulang; hapus lagi file ujinya setelah selesai.
2. Klik Reset.</t>
        </is>
      </c>
      <c r="F81" s="6" t="inlineStr">
        <is>
          <t>File baru muncul saat itu juga (tanpa Muat ulang paling lambat 10 menit kemudian); Reset melepas pencarian, filter dan urutan.</t>
        </is>
      </c>
      <c r="G81" s="12" t="n"/>
      <c r="H81" s="6" t="n"/>
      <c r="I81" s="6" t="n"/>
      <c r="J81" s="13" t="n"/>
    </row>
    <row r="82">
      <c r="A82" s="11" t="inlineStr">
        <is>
          <t>UAT-ICT-01</t>
        </is>
      </c>
      <c r="B82" s="6" t="inlineStr">
        <is>
          <t>ICT Masterlist dan Persetujuan Edit</t>
        </is>
      </c>
      <c r="C82" s="6" t="inlineStr">
        <is>
          <t>DC</t>
        </is>
      </c>
      <c r="D82" s="6" t="inlineStr">
        <is>
          <t>Membaca ICT Masterlist</t>
        </is>
      </c>
      <c r="E82" s="6" t="inlineStr">
        <is>
          <t>1. Buka ICT Masterlist dan pindah antar tab sheet.
2. Ketik dua kata di kotak cari.</t>
        </is>
      </c>
      <c r="F82" s="6" t="inlineStr">
        <is>
          <t>Setiap sheet satu tab dengan jumlah barisnya; tanggal tampil dd-mm-yyyy dan rumus sebagai hasilnya; pencarian mencari di semua sheet dan setiap tab menunjukkan jumlah baris yang cocok.</t>
        </is>
      </c>
      <c r="G82" s="12" t="n"/>
      <c r="H82" s="6" t="n"/>
      <c r="I82" s="6" t="n"/>
      <c r="J82" s="13" t="n"/>
    </row>
    <row r="83">
      <c r="A83" s="11" t="inlineStr">
        <is>
          <t>UAT-ICT-02</t>
        </is>
      </c>
      <c r="B83" s="6" t="inlineStr">
        <is>
          <t>ICT Masterlist dan Persetujuan Edit</t>
        </is>
      </c>
      <c r="C83" s="6" t="inlineStr">
        <is>
          <t>DC</t>
        </is>
      </c>
      <c r="D83" s="6" t="inlineStr">
        <is>
          <t>Cek silang di tab COF</t>
        </is>
      </c>
      <c r="E83" s="6" t="inlineStr">
        <is>
          <t>1. Buka tab COF, klik kartu Belum ada, lalu klik lagi.</t>
        </is>
      </c>
      <c r="F83" s="6" t="inlineStr">
        <is>
          <t>Kolom File scan dan lima kartu (Total baris, Ada, Belum ada, Nama beda, Subfolder) tampil; klik kartu menyaring barisnya, klik lagi menampilkan semua.</t>
        </is>
      </c>
      <c r="G83" s="12" t="n"/>
      <c r="H83" s="6" t="n"/>
      <c r="I83" s="6" t="n"/>
      <c r="J83" s="13" t="n"/>
    </row>
    <row r="84">
      <c r="A84" s="11" t="inlineStr">
        <is>
          <t>UAT-ICT-03</t>
        </is>
      </c>
      <c r="B84" s="6" t="inlineStr">
        <is>
          <t>ICT Masterlist dan Persetujuan Edit</t>
        </is>
      </c>
      <c r="C84" s="6" t="inlineStr">
        <is>
          <t>AR</t>
        </is>
      </c>
      <c r="D84" s="6" t="inlineStr">
        <is>
          <t>Mengajukan perubahan sel</t>
        </is>
      </c>
      <c r="E84" s="6" t="inlineStr">
        <is>
          <t>1. Masuk sebagai Admin Radio, buka ICT Masterlist, klik pensil di sel uji.
2. Isi nilai baru, lalu klik Ajukan perubahan.
3. Coba klik sel yang berisi rumus.</t>
        </is>
      </c>
      <c r="F84" s="6" t="inlineStr">
        <is>
          <t>Sel bertanda menunggu, dan satu sel hanya bisa punya satu pengajuan yang menunggu; sel rumus bergembok dan tidak bisa diajukan. Penyetuju mendapat notifikasi.</t>
        </is>
      </c>
      <c r="G84" s="12" t="n"/>
      <c r="H84" s="6" t="n"/>
      <c r="I84" s="6" t="n"/>
      <c r="J84" s="13" t="n"/>
    </row>
    <row r="85">
      <c r="A85" s="11" t="inlineStr">
        <is>
          <t>UAT-ICT-04</t>
        </is>
      </c>
      <c r="B85" s="6" t="inlineStr">
        <is>
          <t>ICT Masterlist dan Persetujuan Edit</t>
        </is>
      </c>
      <c r="C85" s="6" t="inlineStr">
        <is>
          <t>DC</t>
        </is>
      </c>
      <c r="D85" s="6" t="inlineStr">
        <is>
          <t>Menyetujui pengajuan</t>
        </is>
      </c>
      <c r="E85" s="6" t="inlineStr">
        <is>
          <t>1. Masuk sebagai Document Controller, buka Persetujuan Edit, tab Menunggu.
2. Bandingkan nilai lama dan baru, lalu klik Setujui.</t>
        </is>
      </c>
      <c r="F85" s="6" t="inlineStr">
        <is>
          <t>Status menjadi Diterapkan; nilai baru tertulis di workbook SharePoint (versi baru file); pengaju mendapat notifikasi hasilnya.</t>
        </is>
      </c>
      <c r="G85" s="12" t="n"/>
      <c r="H85" s="6" t="n"/>
      <c r="I85" s="6" t="n"/>
      <c r="J85" s="13" t="n"/>
    </row>
    <row r="86">
      <c r="A86" s="11" t="inlineStr">
        <is>
          <t>UAT-ICT-05</t>
        </is>
      </c>
      <c r="B86" s="6" t="inlineStr">
        <is>
          <t>ICT Masterlist dan Persetujuan Edit</t>
        </is>
      </c>
      <c r="C86" s="6" t="inlineStr">
        <is>
          <t>DC</t>
        </is>
      </c>
      <c r="D86" s="6" t="inlineStr">
        <is>
          <t>Menolak pengajuan</t>
        </is>
      </c>
      <c r="E86" s="6" t="inlineStr">
        <is>
          <t>1. Untuk pengajuan lain, klik Tolak dan isi alasannya.</t>
        </is>
      </c>
      <c r="F86" s="6" t="inlineStr">
        <is>
          <t>Status Ditolak; tidak ada yang ditulis ke SharePoint; pengaju mendapat notifikasi beserta alasannya.</t>
        </is>
      </c>
      <c r="G86" s="12" t="n"/>
      <c r="H86" s="6" t="n"/>
      <c r="I86" s="6" t="n"/>
      <c r="J86" s="13" t="n"/>
    </row>
    <row r="87">
      <c r="A87" s="11" t="inlineStr">
        <is>
          <t>UAT-ICT-06</t>
        </is>
      </c>
      <c r="B87" s="6" t="inlineStr">
        <is>
          <t>ICT Masterlist dan Persetujuan Edit</t>
        </is>
      </c>
      <c r="C87" s="6" t="inlineStr">
        <is>
          <t>AR</t>
        </is>
      </c>
      <c r="D87" s="6" t="inlineStr">
        <is>
          <t>Pengaju tidak memutuskan pengajuannya sendiri</t>
        </is>
      </c>
      <c r="E87" s="6" t="inlineStr">
        <is>
          <t>1. Masuk sebagai Admin Radio yang mengajukan di UAT-ICT-03, lalu buka Persetujuan Edit.</t>
        </is>
      </c>
      <c r="F87" s="6" t="inlineStr">
        <is>
          <t>Pengajuannya tampil dengan status Menunggu, tanpa tombol Setujui dan Tolak: pengajuan selalu diputuskan orang lain.</t>
        </is>
      </c>
      <c r="G87" s="12" t="n"/>
      <c r="H87" s="6" t="n"/>
      <c r="I87" s="6" t="n"/>
      <c r="J87" s="13" t="n"/>
    </row>
    <row r="88">
      <c r="A88" s="11" t="inlineStr">
        <is>
          <t>UAT-ICT-07</t>
        </is>
      </c>
      <c r="B88" s="6" t="inlineStr">
        <is>
          <t>ICT Masterlist dan Persetujuan Edit</t>
        </is>
      </c>
      <c r="C88" s="6" t="inlineStr">
        <is>
          <t>DC</t>
        </is>
      </c>
      <c r="D88" s="6" t="inlineStr">
        <is>
          <t>Konflik bila sel sudah berubah</t>
        </is>
      </c>
      <c r="E88" s="6" t="inlineStr">
        <is>
          <t>1. Admin Radio mengajukan perubahan sebuah sel uji.
2. Ubah sel yang sama langsung di Excel dan simpan di sana.
3. Document Controller menyetujui pengajuannya.</t>
        </is>
      </c>
      <c r="F88" s="6" t="inlineStr">
        <is>
          <t>Status menjadi Konflik; nilai di Excel tidak tertimpa; pengaju diberi tahu untuk mengajukan lagi dari nilai terbaru.</t>
        </is>
      </c>
      <c r="G88" s="12" t="n"/>
      <c r="H88" s="6" t="n"/>
      <c r="I88" s="6" t="n"/>
      <c r="J88" s="13" t="n"/>
    </row>
    <row r="89">
      <c r="A89" s="11" t="inlineStr">
        <is>
          <t>UAT-ICT-08</t>
        </is>
      </c>
      <c r="B89" s="6" t="inlineStr">
        <is>
          <t>ICT Masterlist dan Persetujuan Edit</t>
        </is>
      </c>
      <c r="C89" s="6" t="inlineStr">
        <is>
          <t>DC</t>
        </is>
      </c>
      <c r="D89" s="6" t="inlineStr">
        <is>
          <t>Edit baris langsung</t>
        </is>
      </c>
      <c r="E89" s="6" t="inlineStr">
        <is>
          <t>1. Masuk sebagai Document Controller, klik pensil di nomor baris uji.
2. Ubah satu atau dua isian, lalu Simpan.</t>
        </is>
      </c>
      <c r="F89" s="6" t="inlineStr">
        <is>
          <t>Dialog Edit baris berisi semua kolom; sel rumus, sel dengan pengajuan menunggu dan kolom File scan hanya bisa dibaca. Perubahan langsung tertulis; Persetujuan Edit menulis "Ditulis langsung oleh ..."; Audit Log mencatatnya.</t>
        </is>
      </c>
      <c r="G89" s="12" t="n"/>
      <c r="H89" s="6" t="n"/>
      <c r="I89" s="6" t="n"/>
      <c r="J89" s="13" t="n"/>
    </row>
    <row r="90">
      <c r="A90" s="11" t="inlineStr">
        <is>
          <t>UAT-ICT-09</t>
        </is>
      </c>
      <c r="B90" s="6" t="inlineStr">
        <is>
          <t>ICT Masterlist dan Persetujuan Edit</t>
        </is>
      </c>
      <c r="C90" s="6" t="inlineStr">
        <is>
          <t>DC</t>
        </is>
      </c>
      <c r="D90" s="6" t="inlineStr">
        <is>
          <t>Edit baris saat workbook berubah atau terkunci</t>
        </is>
      </c>
      <c r="E90" s="6" t="inlineStr">
        <is>
          <t>1. Buka baris uji di Edit baris, lalu ubah baris yang sama di Excel dan simpan di sana.
2. Simpan di aplikasi.
3. Ulangi saat workbook sedang terbuka di Excel desktop.</t>
        </is>
      </c>
      <c r="F90" s="6" t="inlineStr">
        <is>
          <t>Tidak ada yang ditulis; pesannya menyebut baris itu sudah berubah di SharePoint sejak halaman dimuat, atau workbook sedang dikunci karena dibuka di Excel.</t>
        </is>
      </c>
      <c r="G90" s="12" t="n"/>
      <c r="H90" s="6" t="n"/>
      <c r="I90" s="6" t="n"/>
      <c r="J90" s="13" t="n"/>
    </row>
    <row r="91">
      <c r="A91" s="11" t="inlineStr">
        <is>
          <t>UAT-SNP-01</t>
        </is>
      </c>
      <c r="B91" s="6" t="inlineStr">
        <is>
          <t>Snipe-IT</t>
        </is>
      </c>
      <c r="C91" s="6" t="inlineStr">
        <is>
          <t>SA</t>
        </is>
      </c>
      <c r="D91" s="6" t="inlineStr">
        <is>
          <t>Ringkasan Snipe-IT</t>
        </is>
      </c>
      <c r="E91" s="6" t="inlineStr">
        <is>
          <t>1. Buka Snipe-IT → Ringkasan.
2. Klik Ambil ulang dari Snipe-IT, lalu Lihat semua pada satu panel.</t>
        </is>
      </c>
      <c r="F91" s="6" t="inlineStr">
        <is>
          <t>Baris atas menyebut versi Snipe-IT dan waktu data diambil; aset per status dan per kategori serta jumlah setiap daftar tampil. Ambil ulang memperbarui waktunya; Lihat semua membuka halamannya.</t>
        </is>
      </c>
      <c r="G91" s="12" t="n"/>
      <c r="H91" s="6" t="n"/>
      <c r="I91" s="6" t="n"/>
      <c r="J91" s="13" t="n"/>
    </row>
    <row r="92">
      <c r="A92" s="11" t="inlineStr">
        <is>
          <t>UAT-SNP-02</t>
        </is>
      </c>
      <c r="B92" s="6" t="inlineStr">
        <is>
          <t>Snipe-IT</t>
        </is>
      </c>
      <c r="C92" s="6" t="inlineStr">
        <is>
          <t>SA</t>
        </is>
      </c>
      <c r="D92" s="6" t="inlineStr">
        <is>
          <t>Daftar Aset</t>
        </is>
      </c>
      <c r="E92" s="6" t="inlineStr">
        <is>
          <t>1. Buka Aset, lalu saring per kategori dan status.
2. Cari asset tag atau SN, urutkan sebuah kolom, lalu pindah halaman.</t>
        </is>
      </c>
      <c r="F92" s="6" t="inlineStr">
        <is>
          <t>Setiap baris diawali gambar aset (atau ikon kategorinya) dengan asset tag dan namanya; filter menampilkan jumlahnya; hasilnya sama dengan di Snipe-IT.</t>
        </is>
      </c>
      <c r="G92" s="12" t="n"/>
      <c r="H92" s="6" t="n"/>
      <c r="I92" s="6" t="n"/>
      <c r="J92" s="13" t="n"/>
    </row>
    <row r="93">
      <c r="A93" s="11" t="inlineStr">
        <is>
          <t>UAT-SNP-03</t>
        </is>
      </c>
      <c r="B93" s="6" t="inlineStr">
        <is>
          <t>Snipe-IT</t>
        </is>
      </c>
      <c r="C93" s="6" t="inlineStr">
        <is>
          <t>SA</t>
        </is>
      </c>
      <c r="D93" s="6" t="inlineStr">
        <is>
          <t>Detail aset</t>
        </is>
      </c>
      <c r="E93" s="6" t="inlineStr">
        <is>
          <t>1. Klik tombol mata (Lihat detail) di ujung baris sebuah aset.
2. Klik Buka ukuran penuh pada gambarnya, lalu Buka di Snipe-IT.</t>
        </is>
      </c>
      <c r="F93" s="6" t="inlineStr">
        <is>
          <t>Detail menampilkan data aset, pemegang dan lokasi, pembelian dan garansi, riwayat (nilai lama dicoret, nilai baru di sampingnya), custom field, maintenance, lisensi dan waktu audit; gambar terbuka ukuran penuh; aset yang sama terbuka di Snipe-IT.</t>
        </is>
      </c>
      <c r="G93" s="12" t="n"/>
      <c r="H93" s="6" t="n"/>
      <c r="I93" s="6" t="n"/>
      <c r="J93" s="13" t="n"/>
    </row>
    <row r="94">
      <c r="A94" s="11" t="inlineStr">
        <is>
          <t>UAT-SNP-04</t>
        </is>
      </c>
      <c r="B94" s="6" t="inlineStr">
        <is>
          <t>Snipe-IT</t>
        </is>
      </c>
      <c r="C94" s="6" t="inlineStr">
        <is>
          <t>SA</t>
        </is>
      </c>
      <c r="D94" s="6" t="inlineStr">
        <is>
          <t>Custom field rahasia disembunyikan</t>
        </is>
      </c>
      <c r="E94" s="6" t="inlineStr">
        <is>
          <t>1. Buka detail aset yang punya custom field rahasia (misalnya password atau BitLocker).</t>
        </is>
      </c>
      <c r="F94" s="6" t="inlineStr">
        <is>
          <t>Nilainya tertulis Disembunyikan, juga di riwayat; kunci lisensi tidak tampil.</t>
        </is>
      </c>
      <c r="G94" s="12" t="n"/>
      <c r="H94" s="6" t="n"/>
      <c r="I94" s="6" t="n"/>
      <c r="J94" s="13" t="n"/>
    </row>
    <row r="95">
      <c r="A95" s="11" t="inlineStr">
        <is>
          <t>UAT-SNP-05</t>
        </is>
      </c>
      <c r="B95" s="6" t="inlineStr">
        <is>
          <t>Snipe-IT</t>
        </is>
      </c>
      <c r="C95" s="6" t="inlineStr">
        <is>
          <t>SA</t>
        </is>
      </c>
      <c r="D95" s="6" t="inlineStr">
        <is>
          <t>Katalog, Orang &amp; Organisasi, Lisensi &amp; Stok, Riwayat</t>
        </is>
      </c>
      <c r="E95" s="6" t="inlineStr">
        <is>
          <t>1. Buka setiap halaman dan pindah antar tab daftarnya.
2. Di Riwayat → Log aktivitas, saring per aksi.</t>
        </is>
      </c>
      <c r="F95" s="6" t="inlineStr">
        <is>
          <t>Setiap daftar tampil dengan cari, urut dan halaman; kolom Perubahan di Log aktivitas mudah dibaca (misalnya "Status: Ready to Deploy → Deployed"); nama dan catatan tampil seperti di Snipe-IT.</t>
        </is>
      </c>
      <c r="G95" s="12" t="n"/>
      <c r="H95" s="6" t="n"/>
      <c r="I95" s="6" t="n"/>
      <c r="J95" s="13" t="n"/>
    </row>
    <row r="96">
      <c r="A96" s="11" t="inlineStr">
        <is>
          <t>UAT-SNP-06</t>
        </is>
      </c>
      <c r="B96" s="6" t="inlineStr">
        <is>
          <t>Snipe-IT</t>
        </is>
      </c>
      <c r="C96" s="6" t="inlineStr">
        <is>
          <t>SA</t>
        </is>
      </c>
      <c r="D96" s="6" t="inlineStr">
        <is>
          <t>Snipe-IT hanya dibaca</t>
        </is>
      </c>
      <c r="E96" s="6" t="inlineStr">
        <is>
          <t>1. Periksa semua halaman Snipe-IT.</t>
        </is>
      </c>
      <c r="F96" s="6" t="inlineStr">
        <is>
          <t>Tidak ada tombol untuk menambah, mengubah atau menghapus data Snipe-IT; perubahan hanya dilakukan di Snipe-IT.</t>
        </is>
      </c>
      <c r="G96" s="12" t="n"/>
      <c r="H96" s="6" t="n"/>
      <c r="I96" s="6" t="n"/>
      <c r="J96" s="13" t="n"/>
    </row>
    <row r="97">
      <c r="A97" s="11" t="inlineStr">
        <is>
          <t>UAT-SNP-07</t>
        </is>
      </c>
      <c r="B97" s="6" t="inlineStr">
        <is>
          <t>Snipe-IT</t>
        </is>
      </c>
      <c r="C97" s="6" t="inlineStr">
        <is>
          <t>AR</t>
        </is>
      </c>
      <c r="D97" s="6" t="inlineStr">
        <is>
          <t>Akses menu Snipe-IT</t>
        </is>
      </c>
      <c r="E97" s="6" t="inlineStr">
        <is>
          <t>1. Masuk sebagai Admin Radio: bagian ASET IT tidak tampil.
2. Super Admin memberi role itu izin Lihat pada Snipe-IT → Aset di Role &amp; Hak Akses, lalu Admin Radio masuk lagi; setelah selesai, cabut lagi izinnya.</t>
        </is>
      </c>
      <c r="F97" s="6" t="inlineStr">
        <is>
          <t>Tanpa izin menunya tidak tampil; setelah diberi izin Lihat, Aset tampil dan bisa dibuka (hanya dibaca).</t>
        </is>
      </c>
      <c r="G97" s="12" t="n"/>
      <c r="H97" s="6" t="n"/>
      <c r="I97" s="6" t="n"/>
      <c r="J97" s="13" t="n"/>
    </row>
    <row r="98">
      <c r="A98" s="11" t="inlineStr">
        <is>
          <t>UAT-USR-01</t>
        </is>
      </c>
      <c r="B98" s="6" t="inlineStr">
        <is>
          <t>User Terdaftar</t>
        </is>
      </c>
      <c r="C98" s="6" t="inlineStr">
        <is>
          <t>SA</t>
        </is>
      </c>
      <c r="D98" s="6" t="inlineStr">
        <is>
          <t>Menambah user metode Microsoft</t>
        </is>
      </c>
      <c r="E98" s="6" t="inlineStr">
        <is>
          <t>1. Buka User Management → User Terdaftar, klik Tambah user.
2. Pilih Cara masuk Microsoft, ketik nama di Cari karyawan, lalu pilih orangnya.
3. Pilih Role dan Status, klik Simpan, lalu jawab Datanya sudah benar?.</t>
        </is>
      </c>
      <c r="F98" s="6" t="inlineStr">
        <is>
          <t>Nama dan Email terisi dari database HR; user baru tampil di daftar; orang itu bisa masuk dengan tombol Microsoft.</t>
        </is>
      </c>
      <c r="G98" s="12" t="n"/>
      <c r="H98" s="6" t="n"/>
      <c r="I98" s="6" t="n"/>
      <c r="J98" s="13" t="n"/>
    </row>
    <row r="99">
      <c r="A99" s="11" t="inlineStr">
        <is>
          <t>UAT-USR-02</t>
        </is>
      </c>
      <c r="B99" s="6" t="inlineStr">
        <is>
          <t>User Terdaftar</t>
        </is>
      </c>
      <c r="C99" s="6" t="inlineStr">
        <is>
          <t>SA</t>
        </is>
      </c>
      <c r="D99" s="6" t="inlineStr">
        <is>
          <t>Menambah user metode LDAP</t>
        </is>
      </c>
      <c r="E99" s="6" t="inlineStr">
        <is>
          <t>1. Di Tambah user, pilih Cara masuk LDAP, lalu cari orangnya di Cari karyawan.
2. Simpan; ulangi dengan Username direktori yang tidak ada di Active Directory.</t>
        </is>
      </c>
      <c r="F99" s="6" t="inlineStr">
        <is>
          <t>Nama, Email dan Username direktori terisi dari Active Directory; username yang tidak ada atau nonaktif ditolak saat disimpan.</t>
        </is>
      </c>
      <c r="G99" s="12" t="n"/>
      <c r="H99" s="6" t="n"/>
      <c r="I99" s="6" t="n"/>
      <c r="J99" s="13" t="n"/>
    </row>
    <row r="100">
      <c r="A100" s="11" t="inlineStr">
        <is>
          <t>UAT-USR-03</t>
        </is>
      </c>
      <c r="B100" s="6" t="inlineStr">
        <is>
          <t>User Terdaftar</t>
        </is>
      </c>
      <c r="C100" s="6" t="inlineStr">
        <is>
          <t>SA</t>
        </is>
      </c>
      <c r="D100" s="6" t="inlineStr">
        <is>
          <t>Daftar dan filter user</t>
        </is>
      </c>
      <c r="E100" s="6" t="inlineStr">
        <is>
          <t>1. Saring daftar dengan nama atau e-mail, role dan status.</t>
        </is>
      </c>
      <c r="F100" s="6" t="inlineStr">
        <is>
          <t>Daftar menampilkan No, Nama, Email, Role, Status, Cara masuk (Microsoft, LDAP, Keduanya, Password, Belum dipakai) dan Terakhir masuk sesuai filter.</t>
        </is>
      </c>
      <c r="G100" s="12" t="n"/>
      <c r="H100" s="6" t="n"/>
      <c r="I100" s="6" t="n"/>
      <c r="J100" s="13" t="n"/>
    </row>
    <row r="101">
      <c r="A101" s="11" t="inlineStr">
        <is>
          <t>UAT-USR-04</t>
        </is>
      </c>
      <c r="B101" s="6" t="inlineStr">
        <is>
          <t>User Terdaftar</t>
        </is>
      </c>
      <c r="C101" s="6" t="inlineStr">
        <is>
          <t>SA</t>
        </is>
      </c>
      <c r="D101" s="6" t="inlineStr">
        <is>
          <t>Menonaktifkan dan mengaktifkan akun</t>
        </is>
      </c>
      <c r="E101" s="6" t="inlineStr">
        <is>
          <t>1. Biarkan akun uji tetap masuk di browser lain.
2. Klik Nonaktifkan pada akun itu, lalu akun uji mengklik sebuah menu.
3. Klik Aktifkan.</t>
        </is>
      </c>
      <c r="F101" s="6" t="inlineStr">
        <is>
          <t>Sesi akun uji berakhir pada klik berikutnya dan login-nya ditolak "Akun nonaktif"; setelah diaktifkan, akun itu bisa masuk lagi.</t>
        </is>
      </c>
      <c r="G101" s="12" t="n"/>
      <c r="H101" s="6" t="n"/>
      <c r="I101" s="6" t="n"/>
      <c r="J101" s="13" t="n"/>
    </row>
    <row r="102">
      <c r="A102" s="11" t="inlineStr">
        <is>
          <t>UAT-USR-05</t>
        </is>
      </c>
      <c r="B102" s="6" t="inlineStr">
        <is>
          <t>User Terdaftar</t>
        </is>
      </c>
      <c r="C102" s="6" t="inlineStr">
        <is>
          <t>SA</t>
        </is>
      </c>
      <c r="D102" s="6" t="inlineStr">
        <is>
          <t>Atur kata sandi</t>
        </is>
      </c>
      <c r="E102" s="6" t="inlineStr">
        <is>
          <t>1. Pada akun uji yang bukan LDAP, klik Atur kata sandi dan isi kata sandi baru.
2. Masuk dengan akun itu memakai kata sandi baru.</t>
        </is>
      </c>
      <c r="F102" s="6" t="inlineStr">
        <is>
          <t>Login berhasil dengan kata sandi baru; akun LDAP tidak punya tombol Atur kata sandi.</t>
        </is>
      </c>
      <c r="G102" s="12" t="n"/>
      <c r="H102" s="6" t="n"/>
      <c r="I102" s="6" t="n"/>
      <c r="J102" s="13" t="n"/>
    </row>
    <row r="103">
      <c r="A103" s="11" t="inlineStr">
        <is>
          <t>UAT-USR-06</t>
        </is>
      </c>
      <c r="B103" s="6" t="inlineStr">
        <is>
          <t>User Terdaftar</t>
        </is>
      </c>
      <c r="C103" s="6" t="inlineStr">
        <is>
          <t>SA</t>
        </is>
      </c>
      <c r="D103" s="6" t="inlineStr">
        <is>
          <t>Aksi untuk banyak akun</t>
        </is>
      </c>
      <c r="E103" s="6" t="inlineStr">
        <is>
          <t>1. Centang dua akun uji, klik Nonaktifkan, lalu Aktifkan.
2. Centang akun uji, klik Hapus, lalu ketik jumlahnya.
3. Coba centang akun Anda sendiri.</t>
        </is>
      </c>
      <c r="F103" s="6" t="inlineStr">
        <is>
          <t>Aksi berlaku untuk semua akun yang dicentang (paling banyak 100); hapus dikonfirmasi dengan mengetik jumlahnya; akun sendiri tidak bisa dicentang.</t>
        </is>
      </c>
      <c r="G103" s="12" t="n"/>
      <c r="H103" s="6" t="n"/>
      <c r="I103" s="6" t="n"/>
      <c r="J103" s="13" t="n"/>
    </row>
    <row r="104">
      <c r="A104" s="11" t="inlineStr">
        <is>
          <t>UAT-ROL-01</t>
        </is>
      </c>
      <c r="B104" s="6" t="inlineStr">
        <is>
          <t>Role &amp; Hak Akses</t>
        </is>
      </c>
      <c r="C104" s="6" t="inlineStr">
        <is>
          <t>SA</t>
        </is>
      </c>
      <c r="D104" s="6" t="inlineStr">
        <is>
          <t>Menambah role</t>
        </is>
      </c>
      <c r="E104" s="6" t="inlineStr">
        <is>
          <t>1. Buka Role &amp; Hak Akses, klik Tambah role.
2. Isi nama dan Halaman awal, centang izin Lihat di beberapa menu pada Menu &amp; hak akses, lalu simpan.
3. Beri role itu ke akun uji, lalu masuk dengan akun tersebut.</t>
        </is>
      </c>
      <c r="F104" s="6" t="inlineStr">
        <is>
          <t>Akun uji masuk ke halaman awal role itu dan hanya melihat menu yang diberi izin.</t>
        </is>
      </c>
      <c r="G104" s="12" t="n"/>
      <c r="H104" s="6" t="n"/>
      <c r="I104" s="6" t="n"/>
      <c r="J104" s="13" t="n"/>
    </row>
    <row r="105">
      <c r="A105" s="11" t="inlineStr">
        <is>
          <t>UAT-ROL-02</t>
        </is>
      </c>
      <c r="B105" s="6" t="inlineStr">
        <is>
          <t>Role &amp; Hak Akses</t>
        </is>
      </c>
      <c r="C105" s="6" t="inlineStr">
        <is>
          <t>SA</t>
        </is>
      </c>
      <c r="D105" s="6" t="inlineStr">
        <is>
          <t>Izin langsung berlaku</t>
        </is>
      </c>
      <c r="E105" s="6" t="inlineStr">
        <is>
          <t>1. Cabut izin Ubah pada Register Radio dari role akun uji.
2. Akun uji membuka Register Radio dan detail sebuah radio.</t>
        </is>
      </c>
      <c r="F105" s="6" t="inlineStr">
        <is>
          <t>Tombol Edit, Serah terima, Arsipkan dan Pulihkan tidak tampil; perubahan lewat alamat atau API ditolak server.</t>
        </is>
      </c>
      <c r="G105" s="12" t="n"/>
      <c r="H105" s="6" t="n"/>
      <c r="I105" s="6" t="n"/>
      <c r="J105" s="13" t="n"/>
    </row>
    <row r="106">
      <c r="A106" s="11" t="inlineStr">
        <is>
          <t>UAT-ROL-03</t>
        </is>
      </c>
      <c r="B106" s="6" t="inlineStr">
        <is>
          <t>Role &amp; Hak Akses</t>
        </is>
      </c>
      <c r="C106" s="6" t="inlineStr">
        <is>
          <t>SA</t>
        </is>
      </c>
      <c r="D106" s="6" t="inlineStr">
        <is>
          <t>Melihat, mengubah dan menghapus role</t>
        </is>
      </c>
      <c r="E106" s="6" t="inlineStr">
        <is>
          <t>1. Klik Lihat pada role Super Admin.
2. Ubah lalu hapus role uji.</t>
        </is>
      </c>
      <c r="F106" s="6" t="inlineStr">
        <is>
          <t>Lihat menampilkan izin tanpa bisa diubah; role uji bisa diubah dan dihapus; role Super Admin tidak punya tombol hapus.</t>
        </is>
      </c>
      <c r="G106" s="12" t="n"/>
      <c r="H106" s="6" t="n"/>
      <c r="I106" s="6" t="n"/>
      <c r="J106" s="13" t="n"/>
    </row>
    <row r="107">
      <c r="A107" s="11" t="inlineStr">
        <is>
          <t>UAT-AUD-01</t>
        </is>
      </c>
      <c r="B107" s="6" t="inlineStr">
        <is>
          <t>Audit Log</t>
        </is>
      </c>
      <c r="C107" s="6" t="inlineStr">
        <is>
          <t>SA</t>
        </is>
      </c>
      <c r="D107" s="6" t="inlineStr">
        <is>
          <t>Catatan masuk dan keluar</t>
        </is>
      </c>
      <c r="E107" s="6" t="inlineStr">
        <is>
          <t>1. Buka Audit Log, lalu saring Aksi pada kelompok Masuk &amp; keluar.</t>
        </is>
      </c>
      <c r="F107" s="6" t="inlineStr">
        <is>
          <t>Login berhasil, login gagal (dengan alasannya), keluar dan sesi berakhir dari skenario LOG tercatat dengan waktu, user dan IP.</t>
        </is>
      </c>
      <c r="G107" s="12" t="n"/>
      <c r="H107" s="6" t="n"/>
      <c r="I107" s="6" t="n"/>
      <c r="J107" s="13" t="n"/>
    </row>
    <row r="108">
      <c r="A108" s="11" t="inlineStr">
        <is>
          <t>UAT-AUD-02</t>
        </is>
      </c>
      <c r="B108" s="6" t="inlineStr">
        <is>
          <t>Audit Log</t>
        </is>
      </c>
      <c r="C108" s="6" t="inlineStr">
        <is>
          <t>SA</t>
        </is>
      </c>
      <c r="D108" s="6" t="inlineStr">
        <is>
          <t>Perubahan data dan Detail kejadian</t>
        </is>
      </c>
      <c r="E108" s="6" t="inlineStr">
        <is>
          <t>1. Saring Entitas Radio dan Rentang tanggal Hari ini.
2. Klik baris perubahan radio dari UAT-REG-09.</t>
        </is>
      </c>
      <c r="F108" s="6" t="inlineStr">
        <is>
          <t>Detail kejadian menampilkan waktu sampai detik, user, aksi, entitas, IP, Browser dan perubahan baris per baris (nilai sebelum dan sesudahnya).</t>
        </is>
      </c>
      <c r="G108" s="12" t="n"/>
      <c r="H108" s="6" t="n"/>
      <c r="I108" s="6" t="n"/>
      <c r="J108" s="13" t="n"/>
    </row>
    <row r="109">
      <c r="A109" s="11" t="inlineStr">
        <is>
          <t>UAT-AUD-03</t>
        </is>
      </c>
      <c r="B109" s="6" t="inlineStr">
        <is>
          <t>Audit Log</t>
        </is>
      </c>
      <c r="C109" s="6" t="inlineStr">
        <is>
          <t>SA</t>
        </is>
      </c>
      <c r="D109" s="6" t="inlineStr">
        <is>
          <t>Filter, kalender dan tampilan</t>
        </is>
      </c>
      <c r="E109" s="6" t="inlineStr">
        <is>
          <t>1. Pilih Rentang tanggal → Pilih tanggal…, klik hari pertama dan terakhir, lalu Terapkan.
2. Salin alamat halaman dan buka di tab baru.
3. Ganti tampilan Tabel dan Log aktivitas.</t>
        </is>
      </c>
      <c r="F109" s="6" t="inlineStr">
        <is>
          <t>Daftar mengikuti rentang tanggal; alamat yang disalin membuka tampilan dengan filter yang sama; Log aktivitas menampilkan timeline kalimat "siapa melakukan apa".</t>
        </is>
      </c>
      <c r="G109" s="12" t="n"/>
      <c r="H109" s="6" t="n"/>
      <c r="I109" s="6" t="n"/>
      <c r="J109" s="13" t="n"/>
    </row>
    <row r="110">
      <c r="A110" s="11" t="inlineStr">
        <is>
          <t>UAT-AUD-04</t>
        </is>
      </c>
      <c r="B110" s="6" t="inlineStr">
        <is>
          <t>Audit Log</t>
        </is>
      </c>
      <c r="C110" s="6" t="inlineStr">
        <is>
          <t>SA</t>
        </is>
      </c>
      <c r="D110" s="6" t="inlineStr">
        <is>
          <t>Catatan audit tidak bisa diubah</t>
        </is>
      </c>
      <c r="E110" s="6" t="inlineStr">
        <is>
          <t>1. Periksa halaman Audit Log dan detail kejadiannya.</t>
        </is>
      </c>
      <c r="F110" s="6" t="inlineStr">
        <is>
          <t>Tidak ada tombol untuk mengubah atau menghapus catatan audit; kata sandi, token dan gambar tanda tangan tidak pernah tampil di isinya.</t>
        </is>
      </c>
      <c r="G110" s="12" t="n"/>
      <c r="H110" s="6" t="n"/>
      <c r="I110" s="6" t="n"/>
      <c r="J110" s="13" t="n"/>
    </row>
    <row r="111">
      <c r="A111" s="11" t="inlineStr">
        <is>
          <t>UAT-API-01</t>
        </is>
      </c>
      <c r="B111" s="6" t="inlineStr">
        <is>
          <t>API Tokens dan API</t>
        </is>
      </c>
      <c r="C111" s="6" t="inlineStr">
        <is>
          <t>SA</t>
        </is>
      </c>
      <c r="D111" s="6" t="inlineStr">
        <is>
          <t>Membuat token</t>
        </is>
      </c>
      <c r="E111" s="6" t="inlineStr">
        <is>
          <t>1. Buka API Tokens, klik Token baru.
2. Pilih Hanya baca dan masa berlaku 30 hari, lalu buat tokennya.</t>
        </is>
      </c>
      <c r="F111" s="6" t="inlineStr">
        <is>
          <t>Token ditampilkan sekali saja beserta contoh curl; setelah dialog ditutup token tidak bisa dilihat lagi; token tampil di daftar dengan tanggal berakhirnya.</t>
        </is>
      </c>
      <c r="G111" s="12" t="n"/>
      <c r="H111" s="6" t="n"/>
      <c r="I111" s="6" t="n"/>
      <c r="J111" s="13" t="n"/>
    </row>
    <row r="112">
      <c r="A112" s="11" t="inlineStr">
        <is>
          <t>UAT-API-02</t>
        </is>
      </c>
      <c r="B112" s="6" t="inlineStr">
        <is>
          <t>API Tokens dan API</t>
        </is>
      </c>
      <c r="C112" s="6" t="inlineStr">
        <is>
          <t>SA</t>
        </is>
      </c>
      <c r="D112" s="6" t="inlineStr">
        <is>
          <t>Memanggil API dengan token</t>
        </is>
      </c>
      <c r="E112" s="6" t="inlineStr">
        <is>
          <t>1. Panggil GET /api/v1/me dengan header Authorization: Bearer &lt;token&gt;.
2. Dengan token Hanya baca yang sama, coba POST /api/v1/radios.</t>
        </is>
      </c>
      <c r="F112" s="6" t="inlineStr">
        <is>
          <t>GET menjawab data akun pemilik token; POST ditolak (403) karena token hanya boleh membaca.</t>
        </is>
      </c>
      <c r="G112" s="12" t="n"/>
      <c r="H112" s="6" t="n"/>
      <c r="I112" s="6" t="n"/>
      <c r="J112" s="13" t="n"/>
    </row>
    <row r="113">
      <c r="A113" s="11" t="inlineStr">
        <is>
          <t>UAT-API-03</t>
        </is>
      </c>
      <c r="B113" s="6" t="inlineStr">
        <is>
          <t>API Tokens dan API</t>
        </is>
      </c>
      <c r="C113" s="6" t="inlineStr">
        <is>
          <t>SA</t>
        </is>
      </c>
      <c r="D113" s="6" t="inlineStr">
        <is>
          <t>Mencabut token</t>
        </is>
      </c>
      <c r="E113" s="6" t="inlineStr">
        <is>
          <t>1. Klik Cabut pada token dari UAT-API-01.
2. Panggil GET /api/v1/me lagi dengan token itu.</t>
        </is>
      </c>
      <c r="F113" s="6" t="inlineStr">
        <is>
          <t>Token tercatat dicabut, dan panggilannya dijawab 401.</t>
        </is>
      </c>
      <c r="G113" s="12" t="n"/>
      <c r="H113" s="6" t="n"/>
      <c r="I113" s="6" t="n"/>
      <c r="J113" s="13" t="n"/>
    </row>
    <row r="114">
      <c r="A114" s="11" t="inlineStr">
        <is>
          <t>UAT-API-04</t>
        </is>
      </c>
      <c r="B114" s="6" t="inlineStr">
        <is>
          <t>API Tokens dan API</t>
        </is>
      </c>
      <c r="C114" s="6" t="inlineStr">
        <is>
          <t>SA</t>
        </is>
      </c>
      <c r="D114" s="6" t="inlineStr">
        <is>
          <t>API client</t>
        </is>
      </c>
      <c r="E114" s="6" t="inlineStr">
        <is>
          <t>1. Klik Client baru, beri nama dan role, lalu buat token untuknya.
2. Nonaktifkan client itu, lalu panggil API dengan tokennya.</t>
        </is>
      </c>
      <c r="F114" s="6" t="inlineStr">
        <is>
          <t>Client tidak tercantum di User Management; setelah dinonaktifkan, tokennya ditolak (401).</t>
        </is>
      </c>
      <c r="G114" s="12" t="n"/>
      <c r="H114" s="6" t="n"/>
      <c r="I114" s="6" t="n"/>
      <c r="J114" s="13" t="n"/>
    </row>
    <row r="115">
      <c r="A115" s="11" t="inlineStr">
        <is>
          <t>UAT-API-05</t>
        </is>
      </c>
      <c r="B115" s="6" t="inlineStr">
        <is>
          <t>API Tokens dan API</t>
        </is>
      </c>
      <c r="C115" s="6" t="inlineStr">
        <is>
          <t>SA</t>
        </is>
      </c>
      <c r="D115" s="6" t="inlineStr">
        <is>
          <t>Dokumentasi API dan health check</t>
        </is>
      </c>
      <c r="E115" s="6" t="inlineStr">
        <is>
          <t>1. Klik Dokumentasi API.
2. Buka GET /api/v1/health tanpa token, lalu /up.</t>
        </is>
      </c>
      <c r="F115" s="6" t="inlineStr">
        <is>
          <t>Dokumentasi /docs/api terbuka (hanya untuk yang boleh memegang token). Health menjawab status ok dengan cek web, database, storage dan session; /up menjawab status up.</t>
        </is>
      </c>
      <c r="G115" s="12" t="n"/>
      <c r="H115" s="6" t="n"/>
      <c r="I115" s="6" t="n"/>
      <c r="J115" s="13" t="n"/>
    </row>
    <row r="116">
      <c r="A116" s="11" t="inlineStr">
        <is>
          <t>UAT-PRM-01</t>
        </is>
      </c>
      <c r="B116" s="6" t="inlineStr">
        <is>
          <t>Hak akses per role</t>
        </is>
      </c>
      <c r="C116" s="6" t="inlineStr">
        <is>
          <t>VR</t>
        </is>
      </c>
      <c r="D116" s="6" t="inlineStr">
        <is>
          <t>Akses Viewer Radio</t>
        </is>
      </c>
      <c r="E116" s="6" t="inlineStr">
        <is>
          <t>1. Masuk sebagai Viewer Radio dan buka setiap menu yang tampil.</t>
        </is>
      </c>
      <c r="F116" s="6" t="inlineStr">
        <is>
          <t>Hanya Dashboard dan menu RADIO yang tampil (tanpa E-Sign Master); tidak ada tombol Tambah radio, Edit, Arsipkan, Hapus, Tiket baru, Mulai sesi, Terapkan atau Abaikan; melihat, Export dan Cetak form tetap bisa.</t>
        </is>
      </c>
      <c r="G116" s="12" t="n"/>
      <c r="H116" s="6" t="n"/>
      <c r="I116" s="6" t="n"/>
      <c r="J116" s="13" t="n"/>
    </row>
    <row r="117">
      <c r="A117" s="11" t="inlineStr">
        <is>
          <t>UAT-PRM-02</t>
        </is>
      </c>
      <c r="B117" s="6" t="inlineStr">
        <is>
          <t>Hak akses per role</t>
        </is>
      </c>
      <c r="C117" s="6" t="inlineStr">
        <is>
          <t>AR</t>
        </is>
      </c>
      <c r="D117" s="6" t="inlineStr">
        <is>
          <t>Akses Admin Radio</t>
        </is>
      </c>
      <c r="E117" s="6" t="inlineStr">
        <is>
          <t>1. Masuk sebagai Admin Radio dan buka setiap menu yang tampil.</t>
        </is>
      </c>
      <c r="F117" s="6" t="inlineStr">
        <is>
          <t>Menu RADIO penuh (tanpa E-Sign Master), COF Scan hanya lihat, ICT Masterlist bisa mengajukan perubahan sel, Persetujuan Edit hanya lihat; bagian ASET IT, USER dan PENGATURAN tidak tampil.</t>
        </is>
      </c>
      <c r="G117" s="12" t="n"/>
      <c r="H117" s="6" t="n"/>
      <c r="I117" s="6" t="n"/>
      <c r="J117" s="13" t="n"/>
    </row>
    <row r="118">
      <c r="A118" s="11" t="inlineStr">
        <is>
          <t>UAT-PRM-03</t>
        </is>
      </c>
      <c r="B118" s="6" t="inlineStr">
        <is>
          <t>Hak akses per role</t>
        </is>
      </c>
      <c r="C118" s="6" t="inlineStr">
        <is>
          <t>DC</t>
        </is>
      </c>
      <c r="D118" s="6" t="inlineStr">
        <is>
          <t>Akses Document Controller</t>
        </is>
      </c>
      <c r="E118" s="6" t="inlineStr">
        <is>
          <t>1. Masuk sebagai Document Controller dan buka setiap menu yang tampil.</t>
        </is>
      </c>
      <c r="F118" s="6" t="inlineStr">
        <is>
          <t>Dashboard (lihat), COF Scan (lihat), ICT Masterlist dengan edit baris langsung, dan Persetujuan Edit dengan Setujui dan Tolak; menu radio lain, ASET IT, USER dan PENGATURAN tidak tampil.</t>
        </is>
      </c>
      <c r="G118" s="12" t="n"/>
      <c r="H118" s="6" t="n"/>
      <c r="I118" s="6" t="n"/>
      <c r="J118" s="13" t="n"/>
    </row>
    <row r="119">
      <c r="A119" s="11" t="inlineStr">
        <is>
          <t>UAT-PRM-04</t>
        </is>
      </c>
      <c r="B119" s="6" t="inlineStr">
        <is>
          <t>Hak akses per role</t>
        </is>
      </c>
      <c r="C119" s="6" t="inlineStr">
        <is>
          <t>SA</t>
        </is>
      </c>
      <c r="D119" s="6" t="inlineStr">
        <is>
          <t>Akses Super Admin</t>
        </is>
      </c>
      <c r="E119" s="6" t="inlineStr">
        <is>
          <t>1. Masuk sebagai Super Admin dan buka setiap menu.</t>
        </is>
      </c>
      <c r="F119" s="6" t="inlineStr">
        <is>
          <t>Semua menu tampil, termasuk E-Sign Master, Snipe-IT, User Management, Audit Log dan API Tokens.</t>
        </is>
      </c>
      <c r="G119" s="12" t="n"/>
      <c r="H119" s="6" t="n"/>
      <c r="I119" s="6" t="n"/>
      <c r="J119" s="13" t="n"/>
    </row>
  </sheetData>
  <autoFilter ref="A1:J119"/>
  <conditionalFormatting sqref="G2:G119">
    <cfRule type="cellIs" priority="1" operator="equal" dxfId="0">
      <formula>"Lulus"</formula>
    </cfRule>
    <cfRule type="cellIs" priority="2" operator="equal" dxfId="1">
      <formula>"Gagal"</formula>
    </cfRule>
    <cfRule type="cellIs" priority="3" operator="equal" dxfId="2">
      <formula>"N/A"</formula>
    </cfRule>
  </conditionalFormatting>
  <dataValidations count="2">
    <dataValidation sqref="G2:G119" showDropDown="0" showInputMessage="0" showErrorMessage="1" allowBlank="1" errorTitle="Status" error="Pilih Lulus, Gagal atau N/A." type="list">
      <formula1>"Lulus,Gagal,N/A"</formula1>
    </dataValidation>
    <dataValidation sqref="J2:J119" showDropDown="0" showInputMessage="0" showErrorMessage="0" allowBlank="1" type="date" operator="greaterThan">
      <formula1>DATE(2020,1,1)</formula1>
    </dataValidation>
  </dataValidations>
  <pageMargins left="0.4" right="0.4" top="0.5" bottom="0.5" header="0.5" footer="0.5"/>
  <pageSetup orientation="landscape" paperSize="9" fitToHeight="0" fitToWidth="1"/>
  <headerFooter>
    <oddHeader/>
    <oddFooter>&amp;LForm UAT MTI Radio Management · versi 1.21.4&amp;RHalaman &amp;P dari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5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60" customWidth="1" min="3" max="3"/>
    <col width="12" customWidth="1" min="4" max="4"/>
    <col width="24" customWidth="1" min="5" max="5"/>
    <col width="13" customWidth="1" min="6" max="6"/>
    <col width="18" customWidth="1" min="7" max="7"/>
    <col width="14" customWidth="1" min="8" max="8"/>
    <col width="14" customWidth="1" min="9" max="9"/>
  </cols>
  <sheetData>
    <row r="1">
      <c r="A1" s="10" t="inlineStr">
        <is>
          <t>No</t>
        </is>
      </c>
      <c r="B1" s="10" t="inlineStr">
        <is>
          <t>ID skenario</t>
        </is>
      </c>
      <c r="C1" s="10" t="inlineStr">
        <is>
          <t>Uraian temuan</t>
        </is>
      </c>
      <c r="D1" s="10" t="inlineStr">
        <is>
          <t>Tingkat</t>
        </is>
      </c>
      <c r="E1" s="10" t="inlineStr">
        <is>
          <t>Ditemukan oleh</t>
        </is>
      </c>
      <c r="F1" s="10" t="inlineStr">
        <is>
          <t>Tanggal</t>
        </is>
      </c>
      <c r="G1" s="10" t="inlineStr">
        <is>
          <t>Perbaikan (versi)</t>
        </is>
      </c>
      <c r="H1" s="10" t="inlineStr">
        <is>
          <t>Status</t>
        </is>
      </c>
      <c r="I1" s="10" t="inlineStr">
        <is>
          <t>Uji ulang</t>
        </is>
      </c>
    </row>
    <row r="2">
      <c r="A2" s="6" t="n">
        <v>1</v>
      </c>
      <c r="B2" s="6" t="n"/>
      <c r="C2" s="6" t="n"/>
      <c r="D2" s="6" t="n"/>
      <c r="E2" s="6" t="n"/>
      <c r="F2" s="13" t="n"/>
      <c r="G2" s="6" t="n"/>
      <c r="H2" s="6" t="n"/>
      <c r="I2" s="6" t="n"/>
    </row>
    <row r="3">
      <c r="A3" s="6" t="n">
        <v>2</v>
      </c>
      <c r="B3" s="6" t="n"/>
      <c r="C3" s="6" t="n"/>
      <c r="D3" s="6" t="n"/>
      <c r="E3" s="6" t="n"/>
      <c r="F3" s="13" t="n"/>
      <c r="G3" s="6" t="n"/>
      <c r="H3" s="6" t="n"/>
      <c r="I3" s="6" t="n"/>
    </row>
    <row r="4">
      <c r="A4" s="6" t="n">
        <v>3</v>
      </c>
      <c r="B4" s="6" t="n"/>
      <c r="C4" s="6" t="n"/>
      <c r="D4" s="6" t="n"/>
      <c r="E4" s="6" t="n"/>
      <c r="F4" s="13" t="n"/>
      <c r="G4" s="6" t="n"/>
      <c r="H4" s="6" t="n"/>
      <c r="I4" s="6" t="n"/>
    </row>
    <row r="5">
      <c r="A5" s="6" t="n">
        <v>4</v>
      </c>
      <c r="B5" s="6" t="n"/>
      <c r="C5" s="6" t="n"/>
      <c r="D5" s="6" t="n"/>
      <c r="E5" s="6" t="n"/>
      <c r="F5" s="13" t="n"/>
      <c r="G5" s="6" t="n"/>
      <c r="H5" s="6" t="n"/>
      <c r="I5" s="6" t="n"/>
    </row>
    <row r="6">
      <c r="A6" s="6" t="n">
        <v>5</v>
      </c>
      <c r="B6" s="6" t="n"/>
      <c r="C6" s="6" t="n"/>
      <c r="D6" s="6" t="n"/>
      <c r="E6" s="6" t="n"/>
      <c r="F6" s="13" t="n"/>
      <c r="G6" s="6" t="n"/>
      <c r="H6" s="6" t="n"/>
      <c r="I6" s="6" t="n"/>
    </row>
    <row r="7">
      <c r="A7" s="6" t="n">
        <v>6</v>
      </c>
      <c r="B7" s="6" t="n"/>
      <c r="C7" s="6" t="n"/>
      <c r="D7" s="6" t="n"/>
      <c r="E7" s="6" t="n"/>
      <c r="F7" s="13" t="n"/>
      <c r="G7" s="6" t="n"/>
      <c r="H7" s="6" t="n"/>
      <c r="I7" s="6" t="n"/>
    </row>
    <row r="8">
      <c r="A8" s="6" t="n">
        <v>7</v>
      </c>
      <c r="B8" s="6" t="n"/>
      <c r="C8" s="6" t="n"/>
      <c r="D8" s="6" t="n"/>
      <c r="E8" s="6" t="n"/>
      <c r="F8" s="13" t="n"/>
      <c r="G8" s="6" t="n"/>
      <c r="H8" s="6" t="n"/>
      <c r="I8" s="6" t="n"/>
    </row>
    <row r="9">
      <c r="A9" s="6" t="n">
        <v>8</v>
      </c>
      <c r="B9" s="6" t="n"/>
      <c r="C9" s="6" t="n"/>
      <c r="D9" s="6" t="n"/>
      <c r="E9" s="6" t="n"/>
      <c r="F9" s="13" t="n"/>
      <c r="G9" s="6" t="n"/>
      <c r="H9" s="6" t="n"/>
      <c r="I9" s="6" t="n"/>
    </row>
    <row r="10">
      <c r="A10" s="6" t="n">
        <v>9</v>
      </c>
      <c r="B10" s="6" t="n"/>
      <c r="C10" s="6" t="n"/>
      <c r="D10" s="6" t="n"/>
      <c r="E10" s="6" t="n"/>
      <c r="F10" s="13" t="n"/>
      <c r="G10" s="6" t="n"/>
      <c r="H10" s="6" t="n"/>
      <c r="I10" s="6" t="n"/>
    </row>
    <row r="11">
      <c r="A11" s="6" t="n">
        <v>10</v>
      </c>
      <c r="B11" s="6" t="n"/>
      <c r="C11" s="6" t="n"/>
      <c r="D11" s="6" t="n"/>
      <c r="E11" s="6" t="n"/>
      <c r="F11" s="13" t="n"/>
      <c r="G11" s="6" t="n"/>
      <c r="H11" s="6" t="n"/>
      <c r="I11" s="6" t="n"/>
    </row>
    <row r="12">
      <c r="A12" s="6" t="n">
        <v>11</v>
      </c>
      <c r="B12" s="6" t="n"/>
      <c r="C12" s="6" t="n"/>
      <c r="D12" s="6" t="n"/>
      <c r="E12" s="6" t="n"/>
      <c r="F12" s="13" t="n"/>
      <c r="G12" s="6" t="n"/>
      <c r="H12" s="6" t="n"/>
      <c r="I12" s="6" t="n"/>
    </row>
    <row r="13">
      <c r="A13" s="6" t="n">
        <v>12</v>
      </c>
      <c r="B13" s="6" t="n"/>
      <c r="C13" s="6" t="n"/>
      <c r="D13" s="6" t="n"/>
      <c r="E13" s="6" t="n"/>
      <c r="F13" s="13" t="n"/>
      <c r="G13" s="6" t="n"/>
      <c r="H13" s="6" t="n"/>
      <c r="I13" s="6" t="n"/>
    </row>
    <row r="14">
      <c r="A14" s="6" t="n">
        <v>13</v>
      </c>
      <c r="B14" s="6" t="n"/>
      <c r="C14" s="6" t="n"/>
      <c r="D14" s="6" t="n"/>
      <c r="E14" s="6" t="n"/>
      <c r="F14" s="13" t="n"/>
      <c r="G14" s="6" t="n"/>
      <c r="H14" s="6" t="n"/>
      <c r="I14" s="6" t="n"/>
    </row>
    <row r="15">
      <c r="A15" s="6" t="n">
        <v>14</v>
      </c>
      <c r="B15" s="6" t="n"/>
      <c r="C15" s="6" t="n"/>
      <c r="D15" s="6" t="n"/>
      <c r="E15" s="6" t="n"/>
      <c r="F15" s="13" t="n"/>
      <c r="G15" s="6" t="n"/>
      <c r="H15" s="6" t="n"/>
      <c r="I15" s="6" t="n"/>
    </row>
    <row r="16">
      <c r="A16" s="6" t="n">
        <v>15</v>
      </c>
      <c r="B16" s="6" t="n"/>
      <c r="C16" s="6" t="n"/>
      <c r="D16" s="6" t="n"/>
      <c r="E16" s="6" t="n"/>
      <c r="F16" s="13" t="n"/>
      <c r="G16" s="6" t="n"/>
      <c r="H16" s="6" t="n"/>
      <c r="I16" s="6" t="n"/>
    </row>
    <row r="17">
      <c r="A17" s="6" t="n">
        <v>16</v>
      </c>
      <c r="B17" s="6" t="n"/>
      <c r="C17" s="6" t="n"/>
      <c r="D17" s="6" t="n"/>
      <c r="E17" s="6" t="n"/>
      <c r="F17" s="13" t="n"/>
      <c r="G17" s="6" t="n"/>
      <c r="H17" s="6" t="n"/>
      <c r="I17" s="6" t="n"/>
    </row>
    <row r="18">
      <c r="A18" s="6" t="n">
        <v>17</v>
      </c>
      <c r="B18" s="6" t="n"/>
      <c r="C18" s="6" t="n"/>
      <c r="D18" s="6" t="n"/>
      <c r="E18" s="6" t="n"/>
      <c r="F18" s="13" t="n"/>
      <c r="G18" s="6" t="n"/>
      <c r="H18" s="6" t="n"/>
      <c r="I18" s="6" t="n"/>
    </row>
    <row r="19">
      <c r="A19" s="6" t="n">
        <v>18</v>
      </c>
      <c r="B19" s="6" t="n"/>
      <c r="C19" s="6" t="n"/>
      <c r="D19" s="6" t="n"/>
      <c r="E19" s="6" t="n"/>
      <c r="F19" s="13" t="n"/>
      <c r="G19" s="6" t="n"/>
      <c r="H19" s="6" t="n"/>
      <c r="I19" s="6" t="n"/>
    </row>
    <row r="20">
      <c r="A20" s="6" t="n">
        <v>19</v>
      </c>
      <c r="B20" s="6" t="n"/>
      <c r="C20" s="6" t="n"/>
      <c r="D20" s="6" t="n"/>
      <c r="E20" s="6" t="n"/>
      <c r="F20" s="13" t="n"/>
      <c r="G20" s="6" t="n"/>
      <c r="H20" s="6" t="n"/>
      <c r="I20" s="6" t="n"/>
    </row>
    <row r="21">
      <c r="A21" s="6" t="n">
        <v>20</v>
      </c>
      <c r="B21" s="6" t="n"/>
      <c r="C21" s="6" t="n"/>
      <c r="D21" s="6" t="n"/>
      <c r="E21" s="6" t="n"/>
      <c r="F21" s="13" t="n"/>
      <c r="G21" s="6" t="n"/>
      <c r="H21" s="6" t="n"/>
      <c r="I21" s="6" t="n"/>
    </row>
    <row r="22">
      <c r="A22" s="6" t="n">
        <v>21</v>
      </c>
      <c r="B22" s="6" t="n"/>
      <c r="C22" s="6" t="n"/>
      <c r="D22" s="6" t="n"/>
      <c r="E22" s="6" t="n"/>
      <c r="F22" s="13" t="n"/>
      <c r="G22" s="6" t="n"/>
      <c r="H22" s="6" t="n"/>
      <c r="I22" s="6" t="n"/>
    </row>
    <row r="23">
      <c r="A23" s="6" t="n">
        <v>22</v>
      </c>
      <c r="B23" s="6" t="n"/>
      <c r="C23" s="6" t="n"/>
      <c r="D23" s="6" t="n"/>
      <c r="E23" s="6" t="n"/>
      <c r="F23" s="13" t="n"/>
      <c r="G23" s="6" t="n"/>
      <c r="H23" s="6" t="n"/>
      <c r="I23" s="6" t="n"/>
    </row>
    <row r="24">
      <c r="A24" s="6" t="n">
        <v>23</v>
      </c>
      <c r="B24" s="6" t="n"/>
      <c r="C24" s="6" t="n"/>
      <c r="D24" s="6" t="n"/>
      <c r="E24" s="6" t="n"/>
      <c r="F24" s="13" t="n"/>
      <c r="G24" s="6" t="n"/>
      <c r="H24" s="6" t="n"/>
      <c r="I24" s="6" t="n"/>
    </row>
    <row r="25">
      <c r="A25" s="6" t="n">
        <v>24</v>
      </c>
      <c r="B25" s="6" t="n"/>
      <c r="C25" s="6" t="n"/>
      <c r="D25" s="6" t="n"/>
      <c r="E25" s="6" t="n"/>
      <c r="F25" s="13" t="n"/>
      <c r="G25" s="6" t="n"/>
      <c r="H25" s="6" t="n"/>
      <c r="I25" s="6" t="n"/>
    </row>
    <row r="26">
      <c r="A26" s="6" t="n">
        <v>25</v>
      </c>
      <c r="B26" s="6" t="n"/>
      <c r="C26" s="6" t="n"/>
      <c r="D26" s="6" t="n"/>
      <c r="E26" s="6" t="n"/>
      <c r="F26" s="13" t="n"/>
      <c r="G26" s="6" t="n"/>
      <c r="H26" s="6" t="n"/>
      <c r="I26" s="6" t="n"/>
    </row>
    <row r="27">
      <c r="A27" s="6" t="n">
        <v>26</v>
      </c>
      <c r="B27" s="6" t="n"/>
      <c r="C27" s="6" t="n"/>
      <c r="D27" s="6" t="n"/>
      <c r="E27" s="6" t="n"/>
      <c r="F27" s="13" t="n"/>
      <c r="G27" s="6" t="n"/>
      <c r="H27" s="6" t="n"/>
      <c r="I27" s="6" t="n"/>
    </row>
    <row r="28">
      <c r="A28" s="6" t="n">
        <v>27</v>
      </c>
      <c r="B28" s="6" t="n"/>
      <c r="C28" s="6" t="n"/>
      <c r="D28" s="6" t="n"/>
      <c r="E28" s="6" t="n"/>
      <c r="F28" s="13" t="n"/>
      <c r="G28" s="6" t="n"/>
      <c r="H28" s="6" t="n"/>
      <c r="I28" s="6" t="n"/>
    </row>
    <row r="29">
      <c r="A29" s="6" t="n">
        <v>28</v>
      </c>
      <c r="B29" s="6" t="n"/>
      <c r="C29" s="6" t="n"/>
      <c r="D29" s="6" t="n"/>
      <c r="E29" s="6" t="n"/>
      <c r="F29" s="13" t="n"/>
      <c r="G29" s="6" t="n"/>
      <c r="H29" s="6" t="n"/>
      <c r="I29" s="6" t="n"/>
    </row>
    <row r="30">
      <c r="A30" s="6" t="n">
        <v>29</v>
      </c>
      <c r="B30" s="6" t="n"/>
      <c r="C30" s="6" t="n"/>
      <c r="D30" s="6" t="n"/>
      <c r="E30" s="6" t="n"/>
      <c r="F30" s="13" t="n"/>
      <c r="G30" s="6" t="n"/>
      <c r="H30" s="6" t="n"/>
      <c r="I30" s="6" t="n"/>
    </row>
    <row r="31">
      <c r="A31" s="6" t="n">
        <v>30</v>
      </c>
      <c r="B31" s="6" t="n"/>
      <c r="C31" s="6" t="n"/>
      <c r="D31" s="6" t="n"/>
      <c r="E31" s="6" t="n"/>
      <c r="F31" s="13" t="n"/>
      <c r="G31" s="6" t="n"/>
      <c r="H31" s="6" t="n"/>
      <c r="I31" s="6" t="n"/>
    </row>
    <row r="32">
      <c r="A32" s="6" t="n">
        <v>31</v>
      </c>
      <c r="B32" s="6" t="n"/>
      <c r="C32" s="6" t="n"/>
      <c r="D32" s="6" t="n"/>
      <c r="E32" s="6" t="n"/>
      <c r="F32" s="13" t="n"/>
      <c r="G32" s="6" t="n"/>
      <c r="H32" s="6" t="n"/>
      <c r="I32" s="6" t="n"/>
    </row>
    <row r="33">
      <c r="A33" s="6" t="n">
        <v>32</v>
      </c>
      <c r="B33" s="6" t="n"/>
      <c r="C33" s="6" t="n"/>
      <c r="D33" s="6" t="n"/>
      <c r="E33" s="6" t="n"/>
      <c r="F33" s="13" t="n"/>
      <c r="G33" s="6" t="n"/>
      <c r="H33" s="6" t="n"/>
      <c r="I33" s="6" t="n"/>
    </row>
    <row r="34">
      <c r="A34" s="6" t="n">
        <v>33</v>
      </c>
      <c r="B34" s="6" t="n"/>
      <c r="C34" s="6" t="n"/>
      <c r="D34" s="6" t="n"/>
      <c r="E34" s="6" t="n"/>
      <c r="F34" s="13" t="n"/>
      <c r="G34" s="6" t="n"/>
      <c r="H34" s="6" t="n"/>
      <c r="I34" s="6" t="n"/>
    </row>
    <row r="35">
      <c r="A35" s="6" t="n">
        <v>34</v>
      </c>
      <c r="B35" s="6" t="n"/>
      <c r="C35" s="6" t="n"/>
      <c r="D35" s="6" t="n"/>
      <c r="E35" s="6" t="n"/>
      <c r="F35" s="13" t="n"/>
      <c r="G35" s="6" t="n"/>
      <c r="H35" s="6" t="n"/>
      <c r="I35" s="6" t="n"/>
    </row>
    <row r="36">
      <c r="A36" s="6" t="n">
        <v>35</v>
      </c>
      <c r="B36" s="6" t="n"/>
      <c r="C36" s="6" t="n"/>
      <c r="D36" s="6" t="n"/>
      <c r="E36" s="6" t="n"/>
      <c r="F36" s="13" t="n"/>
      <c r="G36" s="6" t="n"/>
      <c r="H36" s="6" t="n"/>
      <c r="I36" s="6" t="n"/>
    </row>
    <row r="37">
      <c r="A37" s="6" t="n">
        <v>36</v>
      </c>
      <c r="B37" s="6" t="n"/>
      <c r="C37" s="6" t="n"/>
      <c r="D37" s="6" t="n"/>
      <c r="E37" s="6" t="n"/>
      <c r="F37" s="13" t="n"/>
      <c r="G37" s="6" t="n"/>
      <c r="H37" s="6" t="n"/>
      <c r="I37" s="6" t="n"/>
    </row>
    <row r="38">
      <c r="A38" s="6" t="n">
        <v>37</v>
      </c>
      <c r="B38" s="6" t="n"/>
      <c r="C38" s="6" t="n"/>
      <c r="D38" s="6" t="n"/>
      <c r="E38" s="6" t="n"/>
      <c r="F38" s="13" t="n"/>
      <c r="G38" s="6" t="n"/>
      <c r="H38" s="6" t="n"/>
      <c r="I38" s="6" t="n"/>
    </row>
    <row r="39">
      <c r="A39" s="6" t="n">
        <v>38</v>
      </c>
      <c r="B39" s="6" t="n"/>
      <c r="C39" s="6" t="n"/>
      <c r="D39" s="6" t="n"/>
      <c r="E39" s="6" t="n"/>
      <c r="F39" s="13" t="n"/>
      <c r="G39" s="6" t="n"/>
      <c r="H39" s="6" t="n"/>
      <c r="I39" s="6" t="n"/>
    </row>
    <row r="40">
      <c r="A40" s="6" t="n">
        <v>39</v>
      </c>
      <c r="B40" s="6" t="n"/>
      <c r="C40" s="6" t="n"/>
      <c r="D40" s="6" t="n"/>
      <c r="E40" s="6" t="n"/>
      <c r="F40" s="13" t="n"/>
      <c r="G40" s="6" t="n"/>
      <c r="H40" s="6" t="n"/>
      <c r="I40" s="6" t="n"/>
    </row>
    <row r="41">
      <c r="A41" s="6" t="n">
        <v>40</v>
      </c>
      <c r="B41" s="6" t="n"/>
      <c r="C41" s="6" t="n"/>
      <c r="D41" s="6" t="n"/>
      <c r="E41" s="6" t="n"/>
      <c r="F41" s="13" t="n"/>
      <c r="G41" s="6" t="n"/>
      <c r="H41" s="6" t="n"/>
      <c r="I41" s="6" t="n"/>
    </row>
    <row r="42">
      <c r="A42" s="6" t="n">
        <v>41</v>
      </c>
      <c r="B42" s="6" t="n"/>
      <c r="C42" s="6" t="n"/>
      <c r="D42" s="6" t="n"/>
      <c r="E42" s="6" t="n"/>
      <c r="F42" s="13" t="n"/>
      <c r="G42" s="6" t="n"/>
      <c r="H42" s="6" t="n"/>
      <c r="I42" s="6" t="n"/>
    </row>
    <row r="43">
      <c r="A43" s="6" t="n">
        <v>42</v>
      </c>
      <c r="B43" s="6" t="n"/>
      <c r="C43" s="6" t="n"/>
      <c r="D43" s="6" t="n"/>
      <c r="E43" s="6" t="n"/>
      <c r="F43" s="13" t="n"/>
      <c r="G43" s="6" t="n"/>
      <c r="H43" s="6" t="n"/>
      <c r="I43" s="6" t="n"/>
    </row>
    <row r="44">
      <c r="A44" s="6" t="n">
        <v>43</v>
      </c>
      <c r="B44" s="6" t="n"/>
      <c r="C44" s="6" t="n"/>
      <c r="D44" s="6" t="n"/>
      <c r="E44" s="6" t="n"/>
      <c r="F44" s="13" t="n"/>
      <c r="G44" s="6" t="n"/>
      <c r="H44" s="6" t="n"/>
      <c r="I44" s="6" t="n"/>
    </row>
    <row r="45">
      <c r="A45" s="6" t="n">
        <v>44</v>
      </c>
      <c r="B45" s="6" t="n"/>
      <c r="C45" s="6" t="n"/>
      <c r="D45" s="6" t="n"/>
      <c r="E45" s="6" t="n"/>
      <c r="F45" s="13" t="n"/>
      <c r="G45" s="6" t="n"/>
      <c r="H45" s="6" t="n"/>
      <c r="I45" s="6" t="n"/>
    </row>
    <row r="46">
      <c r="A46" s="6" t="n">
        <v>45</v>
      </c>
      <c r="B46" s="6" t="n"/>
      <c r="C46" s="6" t="n"/>
      <c r="D46" s="6" t="n"/>
      <c r="E46" s="6" t="n"/>
      <c r="F46" s="13" t="n"/>
      <c r="G46" s="6" t="n"/>
      <c r="H46" s="6" t="n"/>
      <c r="I46" s="6" t="n"/>
    </row>
    <row r="47">
      <c r="A47" s="6" t="n">
        <v>46</v>
      </c>
      <c r="B47" s="6" t="n"/>
      <c r="C47" s="6" t="n"/>
      <c r="D47" s="6" t="n"/>
      <c r="E47" s="6" t="n"/>
      <c r="F47" s="13" t="n"/>
      <c r="G47" s="6" t="n"/>
      <c r="H47" s="6" t="n"/>
      <c r="I47" s="6" t="n"/>
    </row>
    <row r="48">
      <c r="A48" s="6" t="n">
        <v>47</v>
      </c>
      <c r="B48" s="6" t="n"/>
      <c r="C48" s="6" t="n"/>
      <c r="D48" s="6" t="n"/>
      <c r="E48" s="6" t="n"/>
      <c r="F48" s="13" t="n"/>
      <c r="G48" s="6" t="n"/>
      <c r="H48" s="6" t="n"/>
      <c r="I48" s="6" t="n"/>
    </row>
    <row r="49">
      <c r="A49" s="6" t="n">
        <v>48</v>
      </c>
      <c r="B49" s="6" t="n"/>
      <c r="C49" s="6" t="n"/>
      <c r="D49" s="6" t="n"/>
      <c r="E49" s="6" t="n"/>
      <c r="F49" s="13" t="n"/>
      <c r="G49" s="6" t="n"/>
      <c r="H49" s="6" t="n"/>
      <c r="I49" s="6" t="n"/>
    </row>
    <row r="50">
      <c r="A50" s="6" t="n">
        <v>49</v>
      </c>
      <c r="B50" s="6" t="n"/>
      <c r="C50" s="6" t="n"/>
      <c r="D50" s="6" t="n"/>
      <c r="E50" s="6" t="n"/>
      <c r="F50" s="13" t="n"/>
      <c r="G50" s="6" t="n"/>
      <c r="H50" s="6" t="n"/>
      <c r="I50" s="6" t="n"/>
    </row>
    <row r="51">
      <c r="A51" s="6" t="n">
        <v>50</v>
      </c>
      <c r="B51" s="6" t="n"/>
      <c r="C51" s="6" t="n"/>
      <c r="D51" s="6" t="n"/>
      <c r="E51" s="6" t="n"/>
      <c r="F51" s="13" t="n"/>
      <c r="G51" s="6" t="n"/>
      <c r="H51" s="6" t="n"/>
      <c r="I51" s="6" t="n"/>
    </row>
  </sheetData>
  <autoFilter ref="A1:I51"/>
  <dataValidations count="4">
    <dataValidation sqref="B2:B51" showDropDown="0" showInputMessage="0" showErrorMessage="0" allowBlank="1" type="list">
      <formula1>'Skenario'!$A$2:$A$119</formula1>
    </dataValidation>
    <dataValidation sqref="D2:D51" showDropDown="0" showInputMessage="0" showErrorMessage="0" allowBlank="1" type="list">
      <formula1>"Kritis,Tinggi,Sedang,Rendah"</formula1>
    </dataValidation>
    <dataValidation sqref="H2:H51" showDropDown="0" showInputMessage="0" showErrorMessage="0" allowBlank="1" type="list">
      <formula1>"Terbuka,Diperbaiki,Ditutup"</formula1>
    </dataValidation>
    <dataValidation sqref="I2:I51" showDropDown="0" showInputMessage="0" showErrorMessage="0" allowBlank="1" type="list">
      <formula1>"Lulus,Gagal"</formula1>
    </dataValidation>
  </dataValidations>
  <pageMargins left="0.4" right="0.4" top="0.5" bottom="0.5" header="0.5" footer="0.5"/>
  <pageSetup orientation="landscape" paperSize="9" fitToHeight="0" fitToWidth="1"/>
  <headerFooter>
    <oddHeader/>
    <oddFooter>&amp;LForm UAT MTI Radio Management · versi 1.21.4&amp;RHalaman &amp;P dari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0"/>
  <sheetViews>
    <sheetView workbookViewId="0">
      <pane ySplit="3" topLeftCell="A4" activePane="bottomLeft" state="frozen"/>
      <selection pane="bottomLeft" activeCell="A1" sqref="A1"/>
    </sheetView>
  </sheetViews>
  <sheetFormatPr baseColWidth="8" defaultRowHeight="15"/>
  <cols>
    <col width="6" customWidth="1" min="1" max="1"/>
    <col width="44" customWidth="1" min="2" max="2"/>
    <col width="13" customWidth="1" min="3" max="3"/>
    <col width="11" customWidth="1" min="4" max="4"/>
    <col width="11" customWidth="1" min="5" max="5"/>
    <col width="11" customWidth="1" min="6" max="6"/>
    <col width="14" customWidth="1" min="7" max="7"/>
    <col width="14" customWidth="1" min="8" max="8"/>
    <col width="40" customWidth="1" min="9" max="9"/>
  </cols>
  <sheetData>
    <row r="1">
      <c r="A1" s="1" t="inlineStr">
        <is>
          <t>Ringkasan hasil</t>
        </is>
      </c>
    </row>
    <row r="3">
      <c r="A3" s="10" t="inlineStr">
        <is>
          <t>No</t>
        </is>
      </c>
      <c r="B3" s="10" t="inlineStr">
        <is>
          <t>Bagian</t>
        </is>
      </c>
      <c r="C3" s="10" t="inlineStr">
        <is>
          <t>Jumlah skenario</t>
        </is>
      </c>
      <c r="D3" s="10" t="inlineStr">
        <is>
          <t>Lulus</t>
        </is>
      </c>
      <c r="E3" s="10" t="inlineStr">
        <is>
          <t>Gagal</t>
        </is>
      </c>
      <c r="F3" s="10" t="inlineStr">
        <is>
          <t>N/A</t>
        </is>
      </c>
      <c r="G3" s="10" t="inlineStr">
        <is>
          <t>Belum diisi</t>
        </is>
      </c>
      <c r="H3" s="10" t="inlineStr">
        <is>
          <t>% Lulus</t>
        </is>
      </c>
      <c r="I3" s="10" t="inlineStr">
        <is>
          <t>Catatan</t>
        </is>
      </c>
    </row>
    <row r="4">
      <c r="A4" s="9" t="n">
        <v>1</v>
      </c>
      <c r="B4" s="9" t="inlineStr">
        <is>
          <t>Masuk dan keluar</t>
        </is>
      </c>
      <c r="C4" s="9">
        <f>COUNTIF('Skenario'!$B$2:$B$119,B4)</f>
        <v/>
      </c>
      <c r="D4" s="9">
        <f>COUNTIFS('Skenario'!$B$2:$B$119,B4,'Skenario'!$G$2:$G$119,"Lulus")</f>
        <v/>
      </c>
      <c r="E4" s="9">
        <f>COUNTIFS('Skenario'!$B$2:$B$119,B4,'Skenario'!$G$2:$G$119,"Gagal")</f>
        <v/>
      </c>
      <c r="F4" s="9">
        <f>COUNTIFS('Skenario'!$B$2:$B$119,B4,'Skenario'!$G$2:$G$119,"N/A")</f>
        <v/>
      </c>
      <c r="G4" s="9">
        <f>C4-D4-E4-F4</f>
        <v/>
      </c>
      <c r="H4" s="14">
        <f>IF(D4+E4=0,"",D4/(C4-F4))</f>
        <v/>
      </c>
      <c r="I4" s="9" t="n"/>
    </row>
    <row r="5">
      <c r="A5" s="9" t="n">
        <v>2</v>
      </c>
      <c r="B5" s="9" t="inlineStr">
        <is>
          <t>Tampilan umum, bahasa dan Riwayat versi</t>
        </is>
      </c>
      <c r="C5" s="9">
        <f>COUNTIF('Skenario'!$B$2:$B$119,B5)</f>
        <v/>
      </c>
      <c r="D5" s="9">
        <f>COUNTIFS('Skenario'!$B$2:$B$119,B5,'Skenario'!$G$2:$G$119,"Lulus")</f>
        <v/>
      </c>
      <c r="E5" s="9">
        <f>COUNTIFS('Skenario'!$B$2:$B$119,B5,'Skenario'!$G$2:$G$119,"Gagal")</f>
        <v/>
      </c>
      <c r="F5" s="9">
        <f>COUNTIFS('Skenario'!$B$2:$B$119,B5,'Skenario'!$G$2:$G$119,"N/A")</f>
        <v/>
      </c>
      <c r="G5" s="9">
        <f>C5-D5-E5-F5</f>
        <v/>
      </c>
      <c r="H5" s="14">
        <f>IF(D5+E5=0,"",D5/(C5-F5))</f>
        <v/>
      </c>
      <c r="I5" s="9" t="n"/>
    </row>
    <row r="6">
      <c r="A6" s="9" t="n">
        <v>3</v>
      </c>
      <c r="B6" s="9" t="inlineStr">
        <is>
          <t>Notifikasi</t>
        </is>
      </c>
      <c r="C6" s="9">
        <f>COUNTIF('Skenario'!$B$2:$B$119,B6)</f>
        <v/>
      </c>
      <c r="D6" s="9">
        <f>COUNTIFS('Skenario'!$B$2:$B$119,B6,'Skenario'!$G$2:$G$119,"Lulus")</f>
        <v/>
      </c>
      <c r="E6" s="9">
        <f>COUNTIFS('Skenario'!$B$2:$B$119,B6,'Skenario'!$G$2:$G$119,"Gagal")</f>
        <v/>
      </c>
      <c r="F6" s="9">
        <f>COUNTIFS('Skenario'!$B$2:$B$119,B6,'Skenario'!$G$2:$G$119,"N/A")</f>
        <v/>
      </c>
      <c r="G6" s="9">
        <f>C6-D6-E6-F6</f>
        <v/>
      </c>
      <c r="H6" s="14">
        <f>IF(D6+E6=0,"",D6/(C6-F6))</f>
        <v/>
      </c>
      <c r="I6" s="9" t="n"/>
    </row>
    <row r="7">
      <c r="A7" s="9" t="n">
        <v>4</v>
      </c>
      <c r="B7" s="9" t="inlineStr">
        <is>
          <t>Dashboard</t>
        </is>
      </c>
      <c r="C7" s="9">
        <f>COUNTIF('Skenario'!$B$2:$B$119,B7)</f>
        <v/>
      </c>
      <c r="D7" s="9">
        <f>COUNTIFS('Skenario'!$B$2:$B$119,B7,'Skenario'!$G$2:$G$119,"Lulus")</f>
        <v/>
      </c>
      <c r="E7" s="9">
        <f>COUNTIFS('Skenario'!$B$2:$B$119,B7,'Skenario'!$G$2:$G$119,"Gagal")</f>
        <v/>
      </c>
      <c r="F7" s="9">
        <f>COUNTIFS('Skenario'!$B$2:$B$119,B7,'Skenario'!$G$2:$G$119,"N/A")</f>
        <v/>
      </c>
      <c r="G7" s="9">
        <f>C7-D7-E7-F7</f>
        <v/>
      </c>
      <c r="H7" s="14">
        <f>IF(D7+E7=0,"",D7/(C7-F7))</f>
        <v/>
      </c>
      <c r="I7" s="9" t="n"/>
    </row>
    <row r="8">
      <c r="A8" s="9" t="n">
        <v>5</v>
      </c>
      <c r="B8" s="9" t="inlineStr">
        <is>
          <t>Register Radio</t>
        </is>
      </c>
      <c r="C8" s="9">
        <f>COUNTIF('Skenario'!$B$2:$B$119,B8)</f>
        <v/>
      </c>
      <c r="D8" s="9">
        <f>COUNTIFS('Skenario'!$B$2:$B$119,B8,'Skenario'!$G$2:$G$119,"Lulus")</f>
        <v/>
      </c>
      <c r="E8" s="9">
        <f>COUNTIFS('Skenario'!$B$2:$B$119,B8,'Skenario'!$G$2:$G$119,"Gagal")</f>
        <v/>
      </c>
      <c r="F8" s="9">
        <f>COUNTIFS('Skenario'!$B$2:$B$119,B8,'Skenario'!$G$2:$G$119,"N/A")</f>
        <v/>
      </c>
      <c r="G8" s="9">
        <f>C8-D8-E8-F8</f>
        <v/>
      </c>
      <c r="H8" s="14">
        <f>IF(D8+E8=0,"",D8/(C8-F8))</f>
        <v/>
      </c>
      <c r="I8" s="9" t="n"/>
    </row>
    <row r="9">
      <c r="A9" s="9" t="n">
        <v>6</v>
      </c>
      <c r="B9" s="9" t="inlineStr">
        <is>
          <t>Detail radio, serah terima dan cetak form</t>
        </is>
      </c>
      <c r="C9" s="9">
        <f>COUNTIF('Skenario'!$B$2:$B$119,B9)</f>
        <v/>
      </c>
      <c r="D9" s="9">
        <f>COUNTIFS('Skenario'!$B$2:$B$119,B9,'Skenario'!$G$2:$G$119,"Lulus")</f>
        <v/>
      </c>
      <c r="E9" s="9">
        <f>COUNTIFS('Skenario'!$B$2:$B$119,B9,'Skenario'!$G$2:$G$119,"Gagal")</f>
        <v/>
      </c>
      <c r="F9" s="9">
        <f>COUNTIFS('Skenario'!$B$2:$B$119,B9,'Skenario'!$G$2:$G$119,"N/A")</f>
        <v/>
      </c>
      <c r="G9" s="9">
        <f>C9-D9-E9-F9</f>
        <v/>
      </c>
      <c r="H9" s="14">
        <f>IF(D9+E9=0,"",D9/(C9-F9))</f>
        <v/>
      </c>
      <c r="I9" s="9" t="n"/>
    </row>
    <row r="10">
      <c r="A10" s="9" t="n">
        <v>7</v>
      </c>
      <c r="B10" s="9" t="inlineStr">
        <is>
          <t>Perlu Perhatian</t>
        </is>
      </c>
      <c r="C10" s="9">
        <f>COUNTIF('Skenario'!$B$2:$B$119,B10)</f>
        <v/>
      </c>
      <c r="D10" s="9">
        <f>COUNTIFS('Skenario'!$B$2:$B$119,B10,'Skenario'!$G$2:$G$119,"Lulus")</f>
        <v/>
      </c>
      <c r="E10" s="9">
        <f>COUNTIFS('Skenario'!$B$2:$B$119,B10,'Skenario'!$G$2:$G$119,"Gagal")</f>
        <v/>
      </c>
      <c r="F10" s="9">
        <f>COUNTIFS('Skenario'!$B$2:$B$119,B10,'Skenario'!$G$2:$G$119,"N/A")</f>
        <v/>
      </c>
      <c r="G10" s="9">
        <f>C10-D10-E10-F10</f>
        <v/>
      </c>
      <c r="H10" s="14">
        <f>IF(D10+E10=0,"",D10/(C10-F10))</f>
        <v/>
      </c>
      <c r="I10" s="9" t="n"/>
    </row>
    <row r="11">
      <c r="A11" s="9" t="n">
        <v>8</v>
      </c>
      <c r="B11" s="9" t="inlineStr">
        <is>
          <t>Servis &amp; Perbaikan</t>
        </is>
      </c>
      <c r="C11" s="9">
        <f>COUNTIF('Skenario'!$B$2:$B$119,B11)</f>
        <v/>
      </c>
      <c r="D11" s="9">
        <f>COUNTIFS('Skenario'!$B$2:$B$119,B11,'Skenario'!$G$2:$G$119,"Lulus")</f>
        <v/>
      </c>
      <c r="E11" s="9">
        <f>COUNTIFS('Skenario'!$B$2:$B$119,B11,'Skenario'!$G$2:$G$119,"Gagal")</f>
        <v/>
      </c>
      <c r="F11" s="9">
        <f>COUNTIFS('Skenario'!$B$2:$B$119,B11,'Skenario'!$G$2:$G$119,"N/A")</f>
        <v/>
      </c>
      <c r="G11" s="9">
        <f>C11-D11-E11-F11</f>
        <v/>
      </c>
      <c r="H11" s="14">
        <f>IF(D11+E11=0,"",D11/(C11-F11))</f>
        <v/>
      </c>
      <c r="I11" s="9" t="n"/>
    </row>
    <row r="12">
      <c r="A12" s="9" t="n">
        <v>9</v>
      </c>
      <c r="B12" s="9" t="inlineStr">
        <is>
          <t>Stock Opname</t>
        </is>
      </c>
      <c r="C12" s="9">
        <f>COUNTIF('Skenario'!$B$2:$B$119,B12)</f>
        <v/>
      </c>
      <c r="D12" s="9">
        <f>COUNTIFS('Skenario'!$B$2:$B$119,B12,'Skenario'!$G$2:$G$119,"Lulus")</f>
        <v/>
      </c>
      <c r="E12" s="9">
        <f>COUNTIFS('Skenario'!$B$2:$B$119,B12,'Skenario'!$G$2:$G$119,"Gagal")</f>
        <v/>
      </c>
      <c r="F12" s="9">
        <f>COUNTIFS('Skenario'!$B$2:$B$119,B12,'Skenario'!$G$2:$G$119,"N/A")</f>
        <v/>
      </c>
      <c r="G12" s="9">
        <f>C12-D12-E12-F12</f>
        <v/>
      </c>
      <c r="H12" s="14">
        <f>IF(D12+E12=0,"",D12/(C12-F12))</f>
        <v/>
      </c>
      <c r="I12" s="9" t="n"/>
    </row>
    <row r="13">
      <c r="A13" s="9" t="n">
        <v>10</v>
      </c>
      <c r="B13" s="9" t="inlineStr">
        <is>
          <t>Riwayat Radio</t>
        </is>
      </c>
      <c r="C13" s="9">
        <f>COUNTIF('Skenario'!$B$2:$B$119,B13)</f>
        <v/>
      </c>
      <c r="D13" s="9">
        <f>COUNTIFS('Skenario'!$B$2:$B$119,B13,'Skenario'!$G$2:$G$119,"Lulus")</f>
        <v/>
      </c>
      <c r="E13" s="9">
        <f>COUNTIFS('Skenario'!$B$2:$B$119,B13,'Skenario'!$G$2:$G$119,"Gagal")</f>
        <v/>
      </c>
      <c r="F13" s="9">
        <f>COUNTIFS('Skenario'!$B$2:$B$119,B13,'Skenario'!$G$2:$G$119,"N/A")</f>
        <v/>
      </c>
      <c r="G13" s="9">
        <f>C13-D13-E13-F13</f>
        <v/>
      </c>
      <c r="H13" s="14">
        <f>IF(D13+E13=0,"",D13/(C13-F13))</f>
        <v/>
      </c>
      <c r="I13" s="9" t="n"/>
    </row>
    <row r="14">
      <c r="A14" s="9" t="n">
        <v>11</v>
      </c>
      <c r="B14" s="9" t="inlineStr">
        <is>
          <t>Master Data Radio</t>
        </is>
      </c>
      <c r="C14" s="9">
        <f>COUNTIF('Skenario'!$B$2:$B$119,B14)</f>
        <v/>
      </c>
      <c r="D14" s="9">
        <f>COUNTIFS('Skenario'!$B$2:$B$119,B14,'Skenario'!$G$2:$G$119,"Lulus")</f>
        <v/>
      </c>
      <c r="E14" s="9">
        <f>COUNTIFS('Skenario'!$B$2:$B$119,B14,'Skenario'!$G$2:$G$119,"Gagal")</f>
        <v/>
      </c>
      <c r="F14" s="9">
        <f>COUNTIFS('Skenario'!$B$2:$B$119,B14,'Skenario'!$G$2:$G$119,"N/A")</f>
        <v/>
      </c>
      <c r="G14" s="9">
        <f>C14-D14-E14-F14</f>
        <v/>
      </c>
      <c r="H14" s="14">
        <f>IF(D14+E14=0,"",D14/(C14-F14))</f>
        <v/>
      </c>
      <c r="I14" s="9" t="n"/>
    </row>
    <row r="15">
      <c r="A15" s="9" t="n">
        <v>12</v>
      </c>
      <c r="B15" s="9" t="inlineStr">
        <is>
          <t>E-Sign Master</t>
        </is>
      </c>
      <c r="C15" s="9">
        <f>COUNTIF('Skenario'!$B$2:$B$119,B15)</f>
        <v/>
      </c>
      <c r="D15" s="9">
        <f>COUNTIFS('Skenario'!$B$2:$B$119,B15,'Skenario'!$G$2:$G$119,"Lulus")</f>
        <v/>
      </c>
      <c r="E15" s="9">
        <f>COUNTIFS('Skenario'!$B$2:$B$119,B15,'Skenario'!$G$2:$G$119,"Gagal")</f>
        <v/>
      </c>
      <c r="F15" s="9">
        <f>COUNTIFS('Skenario'!$B$2:$B$119,B15,'Skenario'!$G$2:$G$119,"N/A")</f>
        <v/>
      </c>
      <c r="G15" s="9">
        <f>C15-D15-E15-F15</f>
        <v/>
      </c>
      <c r="H15" s="14">
        <f>IF(D15+E15=0,"",D15/(C15-F15))</f>
        <v/>
      </c>
      <c r="I15" s="9" t="n"/>
    </row>
    <row r="16">
      <c r="A16" s="9" t="n">
        <v>13</v>
      </c>
      <c r="B16" s="9" t="inlineStr">
        <is>
          <t>Import Excel</t>
        </is>
      </c>
      <c r="C16" s="9">
        <f>COUNTIF('Skenario'!$B$2:$B$119,B16)</f>
        <v/>
      </c>
      <c r="D16" s="9">
        <f>COUNTIFS('Skenario'!$B$2:$B$119,B16,'Skenario'!$G$2:$G$119,"Lulus")</f>
        <v/>
      </c>
      <c r="E16" s="9">
        <f>COUNTIFS('Skenario'!$B$2:$B$119,B16,'Skenario'!$G$2:$G$119,"Gagal")</f>
        <v/>
      </c>
      <c r="F16" s="9">
        <f>COUNTIFS('Skenario'!$B$2:$B$119,B16,'Skenario'!$G$2:$G$119,"N/A")</f>
        <v/>
      </c>
      <c r="G16" s="9">
        <f>C16-D16-E16-F16</f>
        <v/>
      </c>
      <c r="H16" s="14">
        <f>IF(D16+E16=0,"",D16/(C16-F16))</f>
        <v/>
      </c>
      <c r="I16" s="9" t="n"/>
    </row>
    <row r="17">
      <c r="A17" s="9" t="n">
        <v>14</v>
      </c>
      <c r="B17" s="9" t="inlineStr">
        <is>
          <t>COF Scan</t>
        </is>
      </c>
      <c r="C17" s="9">
        <f>COUNTIF('Skenario'!$B$2:$B$119,B17)</f>
        <v/>
      </c>
      <c r="D17" s="9">
        <f>COUNTIFS('Skenario'!$B$2:$B$119,B17,'Skenario'!$G$2:$G$119,"Lulus")</f>
        <v/>
      </c>
      <c r="E17" s="9">
        <f>COUNTIFS('Skenario'!$B$2:$B$119,B17,'Skenario'!$G$2:$G$119,"Gagal")</f>
        <v/>
      </c>
      <c r="F17" s="9">
        <f>COUNTIFS('Skenario'!$B$2:$B$119,B17,'Skenario'!$G$2:$G$119,"N/A")</f>
        <v/>
      </c>
      <c r="G17" s="9">
        <f>C17-D17-E17-F17</f>
        <v/>
      </c>
      <c r="H17" s="14">
        <f>IF(D17+E17=0,"",D17/(C17-F17))</f>
        <v/>
      </c>
      <c r="I17" s="9" t="n"/>
    </row>
    <row r="18">
      <c r="A18" s="9" t="n">
        <v>15</v>
      </c>
      <c r="B18" s="9" t="inlineStr">
        <is>
          <t>ICT Masterlist dan Persetujuan Edit</t>
        </is>
      </c>
      <c r="C18" s="9">
        <f>COUNTIF('Skenario'!$B$2:$B$119,B18)</f>
        <v/>
      </c>
      <c r="D18" s="9">
        <f>COUNTIFS('Skenario'!$B$2:$B$119,B18,'Skenario'!$G$2:$G$119,"Lulus")</f>
        <v/>
      </c>
      <c r="E18" s="9">
        <f>COUNTIFS('Skenario'!$B$2:$B$119,B18,'Skenario'!$G$2:$G$119,"Gagal")</f>
        <v/>
      </c>
      <c r="F18" s="9">
        <f>COUNTIFS('Skenario'!$B$2:$B$119,B18,'Skenario'!$G$2:$G$119,"N/A")</f>
        <v/>
      </c>
      <c r="G18" s="9">
        <f>C18-D18-E18-F18</f>
        <v/>
      </c>
      <c r="H18" s="14">
        <f>IF(D18+E18=0,"",D18/(C18-F18))</f>
        <v/>
      </c>
      <c r="I18" s="9" t="n"/>
    </row>
    <row r="19">
      <c r="A19" s="9" t="n">
        <v>16</v>
      </c>
      <c r="B19" s="9" t="inlineStr">
        <is>
          <t>Snipe-IT</t>
        </is>
      </c>
      <c r="C19" s="9">
        <f>COUNTIF('Skenario'!$B$2:$B$119,B19)</f>
        <v/>
      </c>
      <c r="D19" s="9">
        <f>COUNTIFS('Skenario'!$B$2:$B$119,B19,'Skenario'!$G$2:$G$119,"Lulus")</f>
        <v/>
      </c>
      <c r="E19" s="9">
        <f>COUNTIFS('Skenario'!$B$2:$B$119,B19,'Skenario'!$G$2:$G$119,"Gagal")</f>
        <v/>
      </c>
      <c r="F19" s="9">
        <f>COUNTIFS('Skenario'!$B$2:$B$119,B19,'Skenario'!$G$2:$G$119,"N/A")</f>
        <v/>
      </c>
      <c r="G19" s="9">
        <f>C19-D19-E19-F19</f>
        <v/>
      </c>
      <c r="H19" s="14">
        <f>IF(D19+E19=0,"",D19/(C19-F19))</f>
        <v/>
      </c>
      <c r="I19" s="9" t="n"/>
    </row>
    <row r="20">
      <c r="A20" s="9" t="n">
        <v>17</v>
      </c>
      <c r="B20" s="9" t="inlineStr">
        <is>
          <t>User Terdaftar</t>
        </is>
      </c>
      <c r="C20" s="9">
        <f>COUNTIF('Skenario'!$B$2:$B$119,B20)</f>
        <v/>
      </c>
      <c r="D20" s="9">
        <f>COUNTIFS('Skenario'!$B$2:$B$119,B20,'Skenario'!$G$2:$G$119,"Lulus")</f>
        <v/>
      </c>
      <c r="E20" s="9">
        <f>COUNTIFS('Skenario'!$B$2:$B$119,B20,'Skenario'!$G$2:$G$119,"Gagal")</f>
        <v/>
      </c>
      <c r="F20" s="9">
        <f>COUNTIFS('Skenario'!$B$2:$B$119,B20,'Skenario'!$G$2:$G$119,"N/A")</f>
        <v/>
      </c>
      <c r="G20" s="9">
        <f>C20-D20-E20-F20</f>
        <v/>
      </c>
      <c r="H20" s="14">
        <f>IF(D20+E20=0,"",D20/(C20-F20))</f>
        <v/>
      </c>
      <c r="I20" s="9" t="n"/>
    </row>
    <row r="21">
      <c r="A21" s="9" t="n">
        <v>18</v>
      </c>
      <c r="B21" s="9" t="inlineStr">
        <is>
          <t>Role &amp; Hak Akses</t>
        </is>
      </c>
      <c r="C21" s="9">
        <f>COUNTIF('Skenario'!$B$2:$B$119,B21)</f>
        <v/>
      </c>
      <c r="D21" s="9">
        <f>COUNTIFS('Skenario'!$B$2:$B$119,B21,'Skenario'!$G$2:$G$119,"Lulus")</f>
        <v/>
      </c>
      <c r="E21" s="9">
        <f>COUNTIFS('Skenario'!$B$2:$B$119,B21,'Skenario'!$G$2:$G$119,"Gagal")</f>
        <v/>
      </c>
      <c r="F21" s="9">
        <f>COUNTIFS('Skenario'!$B$2:$B$119,B21,'Skenario'!$G$2:$G$119,"N/A")</f>
        <v/>
      </c>
      <c r="G21" s="9">
        <f>C21-D21-E21-F21</f>
        <v/>
      </c>
      <c r="H21" s="14">
        <f>IF(D21+E21=0,"",D21/(C21-F21))</f>
        <v/>
      </c>
      <c r="I21" s="9" t="n"/>
    </row>
    <row r="22">
      <c r="A22" s="9" t="n">
        <v>19</v>
      </c>
      <c r="B22" s="9" t="inlineStr">
        <is>
          <t>Audit Log</t>
        </is>
      </c>
      <c r="C22" s="9">
        <f>COUNTIF('Skenario'!$B$2:$B$119,B22)</f>
        <v/>
      </c>
      <c r="D22" s="9">
        <f>COUNTIFS('Skenario'!$B$2:$B$119,B22,'Skenario'!$G$2:$G$119,"Lulus")</f>
        <v/>
      </c>
      <c r="E22" s="9">
        <f>COUNTIFS('Skenario'!$B$2:$B$119,B22,'Skenario'!$G$2:$G$119,"Gagal")</f>
        <v/>
      </c>
      <c r="F22" s="9">
        <f>COUNTIFS('Skenario'!$B$2:$B$119,B22,'Skenario'!$G$2:$G$119,"N/A")</f>
        <v/>
      </c>
      <c r="G22" s="9">
        <f>C22-D22-E22-F22</f>
        <v/>
      </c>
      <c r="H22" s="14">
        <f>IF(D22+E22=0,"",D22/(C22-F22))</f>
        <v/>
      </c>
      <c r="I22" s="9" t="n"/>
    </row>
    <row r="23">
      <c r="A23" s="9" t="n">
        <v>20</v>
      </c>
      <c r="B23" s="9" t="inlineStr">
        <is>
          <t>API Tokens dan API</t>
        </is>
      </c>
      <c r="C23" s="9">
        <f>COUNTIF('Skenario'!$B$2:$B$119,B23)</f>
        <v/>
      </c>
      <c r="D23" s="9">
        <f>COUNTIFS('Skenario'!$B$2:$B$119,B23,'Skenario'!$G$2:$G$119,"Lulus")</f>
        <v/>
      </c>
      <c r="E23" s="9">
        <f>COUNTIFS('Skenario'!$B$2:$B$119,B23,'Skenario'!$G$2:$G$119,"Gagal")</f>
        <v/>
      </c>
      <c r="F23" s="9">
        <f>COUNTIFS('Skenario'!$B$2:$B$119,B23,'Skenario'!$G$2:$G$119,"N/A")</f>
        <v/>
      </c>
      <c r="G23" s="9">
        <f>C23-D23-E23-F23</f>
        <v/>
      </c>
      <c r="H23" s="14">
        <f>IF(D23+E23=0,"",D23/(C23-F23))</f>
        <v/>
      </c>
      <c r="I23" s="9" t="n"/>
    </row>
    <row r="24">
      <c r="A24" s="9" t="n">
        <v>21</v>
      </c>
      <c r="B24" s="9" t="inlineStr">
        <is>
          <t>Hak akses per role</t>
        </is>
      </c>
      <c r="C24" s="9">
        <f>COUNTIF('Skenario'!$B$2:$B$119,B24)</f>
        <v/>
      </c>
      <c r="D24" s="9">
        <f>COUNTIFS('Skenario'!$B$2:$B$119,B24,'Skenario'!$G$2:$G$119,"Lulus")</f>
        <v/>
      </c>
      <c r="E24" s="9">
        <f>COUNTIFS('Skenario'!$B$2:$B$119,B24,'Skenario'!$G$2:$G$119,"Gagal")</f>
        <v/>
      </c>
      <c r="F24" s="9">
        <f>COUNTIFS('Skenario'!$B$2:$B$119,B24,'Skenario'!$G$2:$G$119,"N/A")</f>
        <v/>
      </c>
      <c r="G24" s="9">
        <f>C24-D24-E24-F24</f>
        <v/>
      </c>
      <c r="H24" s="14">
        <f>IF(D24+E24=0,"",D24/(C24-F24))</f>
        <v/>
      </c>
      <c r="I24" s="9" t="n"/>
    </row>
    <row r="25">
      <c r="A25" s="8" t="n"/>
      <c r="B25" s="8" t="inlineStr">
        <is>
          <t>Jumlah</t>
        </is>
      </c>
      <c r="C25" s="8">
        <f>SUM(C4:C24)</f>
        <v/>
      </c>
      <c r="D25" s="8">
        <f>SUM(D4:D24)</f>
        <v/>
      </c>
      <c r="E25" s="8">
        <f>SUM(E4:E24)</f>
        <v/>
      </c>
      <c r="F25" s="8">
        <f>SUM(F4:F24)</f>
        <v/>
      </c>
      <c r="G25" s="8">
        <f>SUM(G4:G24)</f>
        <v/>
      </c>
      <c r="H25" s="15">
        <f>IF(D25+E25=0,"",D25/(C25-F25))</f>
        <v/>
      </c>
      <c r="I25" s="8" t="n"/>
    </row>
    <row r="27">
      <c r="B27" s="2" t="inlineStr">
        <is>
          <t>Kesimpulan</t>
        </is>
      </c>
      <c r="C27" s="9" t="n"/>
      <c r="D27" s="16" t="n"/>
      <c r="E27" s="16" t="n"/>
      <c r="F27" s="17" t="n"/>
    </row>
    <row r="28">
      <c r="B28" s="2" t="inlineStr">
        <is>
          <t>Catatan kesimpulan</t>
        </is>
      </c>
      <c r="C28" s="3" t="n"/>
    </row>
    <row r="29"/>
    <row r="30"/>
  </sheetData>
  <mergeCells count="2">
    <mergeCell ref="C27:F27"/>
    <mergeCell ref="C28:I30"/>
  </mergeCells>
  <dataValidations count="1">
    <dataValidation sqref="C27" showDropDown="0" showInputMessage="0" showErrorMessage="0" allowBlank="1" type="list">
      <formula1>"Diterima,Diterima dengan catatan,Ditolak"</formula1>
    </dataValidation>
  </dataValidations>
  <pageMargins left="0.4" right="0.4" top="0.5" bottom="0.5" header="0.5" footer="0.5"/>
  <pageSetup orientation="landscape" paperSize="9" fitToHeight="0" fitToWidth="1"/>
  <headerFooter>
    <oddHeader/>
    <oddFooter>&amp;LForm UAT MTI Radio Management · versi 1.21.4&amp;RHalaman &amp;P dari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1"/>
  <sheetViews>
    <sheetView workbookViewId="0">
      <selection activeCell="A1" sqref="A1"/>
    </sheetView>
  </sheetViews>
  <sheetFormatPr baseColWidth="8" defaultRowHeight="15"/>
  <cols>
    <col width="16" customWidth="1" min="1" max="1"/>
    <col width="30" customWidth="1" min="2" max="2"/>
    <col width="16" customWidth="1" min="3" max="3"/>
    <col width="30" customWidth="1" min="4" max="4"/>
    <col width="16" customWidth="1" min="5" max="5"/>
    <col width="30" customWidth="1" min="6" max="6"/>
  </cols>
  <sheetData>
    <row r="1">
      <c r="A1" s="1" t="inlineStr">
        <is>
          <t>Lembar persetujuan</t>
        </is>
      </c>
    </row>
    <row r="3" ht="48" customHeight="1">
      <c r="A3" s="3" t="inlineStr">
        <is>
          <t>Dengan menandatangani lembar ini, pihak-pihak di bawah menyatakan bahwa MTI Radio Management versi 1.21.4 telah diuji menurut skenario di form ini, dengan hasil seperti tercatat di Ringkasan hasil dan Daftar temuan, dan kesimpulannya seperti yang dicentang di sana.</t>
        </is>
      </c>
    </row>
    <row r="5">
      <c r="A5" s="18" t="inlineStr">
        <is>
          <t>Diuji oleh</t>
        </is>
      </c>
      <c r="C5" s="18" t="inlineStr">
        <is>
          <t>Diperiksa oleh</t>
        </is>
      </c>
      <c r="E5" s="18" t="inlineStr">
        <is>
          <t>Disetujui oleh</t>
        </is>
      </c>
    </row>
    <row r="6">
      <c r="A6" t="inlineStr">
        <is>
          <t>Perwakilan pengguna</t>
        </is>
      </c>
      <c r="C6" t="inlineStr">
        <is>
          <t>Tim IT/ICT</t>
        </is>
      </c>
      <c r="E6" t="inlineStr">
        <is>
          <t>Atasan / pemilik proses</t>
        </is>
      </c>
    </row>
    <row r="8">
      <c r="A8" s="2" t="inlineStr">
        <is>
          <t>Nama</t>
        </is>
      </c>
      <c r="B8" s="19" t="n"/>
      <c r="C8" s="2" t="inlineStr">
        <is>
          <t>Nama</t>
        </is>
      </c>
      <c r="D8" s="19" t="n"/>
      <c r="E8" s="2" t="inlineStr">
        <is>
          <t>Nama</t>
        </is>
      </c>
      <c r="F8" s="19" t="n"/>
    </row>
    <row r="9">
      <c r="A9" s="2" t="inlineStr">
        <is>
          <t>Jabatan</t>
        </is>
      </c>
      <c r="B9" s="19" t="n"/>
      <c r="C9" s="2" t="inlineStr">
        <is>
          <t>Jabatan</t>
        </is>
      </c>
      <c r="D9" s="19" t="n"/>
      <c r="E9" s="2" t="inlineStr">
        <is>
          <t>Jabatan</t>
        </is>
      </c>
      <c r="F9" s="19" t="n"/>
    </row>
    <row r="10">
      <c r="A10" s="2" t="inlineStr">
        <is>
          <t>Tanggal</t>
        </is>
      </c>
      <c r="B10" s="19" t="n"/>
      <c r="C10" s="2" t="inlineStr">
        <is>
          <t>Tanggal</t>
        </is>
      </c>
      <c r="D10" s="19" t="n"/>
      <c r="E10" s="2" t="inlineStr">
        <is>
          <t>Tanggal</t>
        </is>
      </c>
      <c r="F10" s="19" t="n"/>
    </row>
    <row r="11" ht="60" customHeight="1">
      <c r="A11" s="2" t="inlineStr">
        <is>
          <t>Tanda tangan</t>
        </is>
      </c>
      <c r="B11" s="19" t="n"/>
      <c r="C11" s="2" t="inlineStr">
        <is>
          <t>Tanda tangan</t>
        </is>
      </c>
      <c r="D11" s="19" t="n"/>
      <c r="E11" s="2" t="inlineStr">
        <is>
          <t>Tanda tangan</t>
        </is>
      </c>
      <c r="F11" s="19" t="n"/>
    </row>
  </sheetData>
  <mergeCells count="1">
    <mergeCell ref="A3:F3"/>
  </mergeCells>
  <pageMargins left="0.4" right="0.4" top="0.5" bottom="0.5" header="0.5" footer="0.5"/>
  <pageSetup orientation="landscape" paperSize="9" fitToHeight="0" fitToWidth="1"/>
  <headerFooter>
    <oddHeader/>
    <oddFooter>&amp;LForm UAT MTI Radio Management · versi 1.21.4&amp;RHalaman &amp;P dari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MTI Radio Management</dc:creator>
  <dc:title xmlns:dc="http://purl.org/dc/elements/1.1/">Form UAT MTI Radio Management</dc:title>
  <dcterms:created xmlns:dcterms="http://purl.org/dc/terms/" xmlns:xsi="http://www.w3.org/2001/XMLSchema-instance" xsi:type="dcterms:W3CDTF">2026-10-21T16:09:59Z</dcterms:created>
  <dcterms:modified xmlns:dcterms="http://purl.org/dc/terms/" xmlns:xsi="http://www.w3.org/2001/XMLSchema-instance" xsi:type="dcterms:W3CDTF">2026-10-21T16:09:59Z</dcterms:modified>
</cp:coreProperties>
</file>