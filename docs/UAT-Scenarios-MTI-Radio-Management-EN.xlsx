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st Info" sheetId="2" state="visible" r:id="rId2"/>
    <sheet xmlns:r="http://schemas.openxmlformats.org/officeDocument/2006/relationships" name="Scenarios" sheetId="3" state="visible" r:id="rId3"/>
    <sheet xmlns:r="http://schemas.openxmlformats.org/officeDocument/2006/relationships" name="Findings" sheetId="4" state="visible" r:id="rId4"/>
    <sheet xmlns:r="http://schemas.openxmlformats.org/officeDocument/2006/relationships" name="Summary" sheetId="5" state="visible" r:id="rId5"/>
    <sheet xmlns:r="http://schemas.openxmlformats.org/officeDocument/2006/relationships" name="Sign-off" sheetId="6" state="visible" r:id="rId6"/>
  </sheets>
  <definedNames>
    <definedName name="_xlnm._FilterDatabase" localSheetId="2" hidden="1">'Scenarios'!$A$1:$J$119</definedName>
    <definedName name="_xlnm.Print_Titles" localSheetId="2">'Scenarios'!$1:$1</definedName>
    <definedName name="_xlnm._FilterDatabase" localSheetId="3" hidden="1">'Findings'!$A$1:$I$51</definedName>
    <definedName name="_xlnm.Print_Titles" localSheetId="3">'Findings'!$1:$1</definedName>
  </definedNames>
  <calcPr calcId="124519" fullCalcOnLoad="1"/>
</workbook>
</file>

<file path=xl/styles.xml><?xml version="1.0" encoding="utf-8"?>
<styleSheet xmlns="http://schemas.openxmlformats.org/spreadsheetml/2006/main">
  <numFmts count="1">
    <numFmt numFmtId="164" formatCode="DD-MM-YYYY"/>
  </numFmts>
  <fonts count="4">
    <font>
      <name val="Calibri"/>
      <family val="2"/>
      <color theme="1"/>
      <sz val="11"/>
      <scheme val="minor"/>
    </font>
    <font>
      <b val="1"/>
      <color rgb="001F2328"/>
      <sz val="14"/>
    </font>
    <font>
      <b val="1"/>
    </font>
    <font>
      <b val="1"/>
      <sz val="12"/>
    </font>
  </fonts>
  <fills count="4">
    <fill>
      <patternFill/>
    </fill>
    <fill>
      <patternFill patternType="gray125"/>
    </fill>
    <fill>
      <patternFill patternType="solid">
        <fgColor rgb="00FFF8E6"/>
      </patternFill>
    </fill>
    <fill>
      <patternFill patternType="solid">
        <fgColor rgb="00F3F5F8"/>
      </patternFill>
    </fill>
  </fills>
  <borders count="7">
    <border>
      <left/>
      <right/>
      <top/>
      <bottom/>
      <diagonal/>
    </border>
    <border>
      <left style="thin">
        <color rgb="00C9D0D8"/>
      </left>
      <right style="thin">
        <color rgb="00C9D0D8"/>
      </right>
      <top style="thin">
        <color rgb="00C9D0D8"/>
      </top>
      <bottom style="thin">
        <color rgb="00C9D0D8"/>
      </bottom>
    </border>
    <border>
      <left/>
      <right/>
      <top style="thin">
        <color rgb="00C9D0D8"/>
      </top>
      <bottom/>
      <diagonal/>
    </border>
    <border>
      <left/>
      <right style="thin">
        <color rgb="00C9D0D8"/>
      </right>
      <top style="thin">
        <color rgb="00C9D0D8"/>
      </top>
      <bottom/>
      <diagonal/>
    </border>
    <border>
      <left/>
      <right/>
      <top style="thin">
        <color rgb="00C9D0D8"/>
      </top>
      <bottom style="thin">
        <color rgb="00C9D0D8"/>
      </bottom>
      <diagonal/>
    </border>
    <border>
      <left/>
      <right style="thin">
        <color rgb="00C9D0D8"/>
      </right>
      <top style="thin">
        <color rgb="00C9D0D8"/>
      </top>
      <bottom style="thin">
        <color rgb="00C9D0D8"/>
      </bottom>
      <diagonal/>
    </border>
    <border>
      <bottom style="thin">
        <color rgb="00C9D0D8"/>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xf>
    <xf numFmtId="0" fontId="2" fillId="0" borderId="1" pivotButton="0" quotePrefix="0" xfId="0"/>
    <xf numFmtId="0" fontId="0" fillId="0" borderId="1" applyAlignment="1" pivotButton="0" quotePrefix="0" xfId="0">
      <alignment vertical="top" wrapText="1"/>
    </xf>
    <xf numFmtId="0" fontId="0" fillId="2" borderId="0" applyAlignment="1" pivotButton="0" quotePrefix="0" xfId="0">
      <alignment vertical="top" wrapText="1"/>
    </xf>
    <xf numFmtId="0" fontId="2" fillId="3" borderId="1" pivotButton="0" quotePrefix="0" xfId="0"/>
    <xf numFmtId="0" fontId="0" fillId="0" borderId="1" pivotButton="0" quotePrefix="0" xfId="0"/>
    <xf numFmtId="0" fontId="2" fillId="3"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horizontal="center" vertical="top" wrapText="1"/>
    </xf>
    <xf numFmtId="164" fontId="0" fillId="0" borderId="1" applyAlignment="1" pivotButton="0" quotePrefix="0" xfId="0">
      <alignment vertical="top" wrapText="1"/>
    </xf>
    <xf numFmtId="9" fontId="0" fillId="0" borderId="1" pivotButton="0" quotePrefix="0" xfId="0"/>
    <xf numFmtId="9" fontId="2" fillId="3" borderId="1" pivotButton="0" quotePrefix="0" xfId="0"/>
    <xf numFmtId="0" fontId="0" fillId="0" borderId="4" pivotButton="0" quotePrefix="0" xfId="0"/>
    <xf numFmtId="0" fontId="0" fillId="0" borderId="5" pivotButton="0" quotePrefix="0" xfId="0"/>
    <xf numFmtId="0" fontId="3" fillId="0" borderId="0" pivotButton="0" quotePrefix="0" xfId="0"/>
    <xf numFmtId="0" fontId="0" fillId="0" borderId="6" pivotButton="0" quotePrefix="0" xfId="0"/>
  </cellXfs>
  <cellStyles count="1">
    <cellStyle name="Normal" xfId="0" builtinId="0" hidden="0"/>
  </cellStyles>
  <dxfs count="3">
    <dxf>
      <fill>
        <patternFill patternType="solid">
          <fgColor rgb="00D1FAE5"/>
        </patternFill>
      </fill>
    </dxf>
    <dxf>
      <fill>
        <patternFill patternType="solid">
          <fgColor rgb="00FEE2E2"/>
        </patternFill>
      </fill>
    </dxf>
    <dxf>
      <fill>
        <patternFill patternType="solid">
          <f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2"/>
  <sheetViews>
    <sheetView workbookViewId="0">
      <selection activeCell="A1" sqref="A1"/>
    </sheetView>
  </sheetViews>
  <sheetFormatPr baseColWidth="8" defaultRowHeight="15"/>
  <cols>
    <col width="22" customWidth="1" min="1" max="1"/>
    <col width="110" customWidth="1" min="2" max="2"/>
  </cols>
  <sheetData>
    <row r="1">
      <c r="A1" s="1" t="inlineStr">
        <is>
          <t>UAT Form MTI Radio Management</t>
        </is>
      </c>
    </row>
    <row r="2">
      <c r="A2" t="inlineStr">
        <is>
          <t>App version: 1.21.4 · Date: 21 October 2026 · 118 scenarios</t>
        </is>
      </c>
    </row>
    <row r="4">
      <c r="A4" s="2" t="inlineStr">
        <is>
          <t>How to fill in</t>
        </is>
      </c>
    </row>
    <row r="5" ht="30" customHeight="1">
      <c r="A5" s="3" t="inlineStr">
        <is>
          <t>This form checks that MTI Radio Management works the way its users expect. Each scenario names the role of the account to use, its steps, and the expected result.</t>
        </is>
      </c>
    </row>
    <row r="6">
      <c r="A6" s="4" t="inlineStr">
        <is>
          <t>1.</t>
        </is>
      </c>
      <c r="B6" s="3" t="inlineStr">
        <is>
          <t>Make sure the version number in the footer of the app is the version on the cover of this form.</t>
        </is>
      </c>
    </row>
    <row r="7">
      <c r="A7" s="4" t="inlineStr">
        <is>
          <t>2.</t>
        </is>
      </c>
      <c r="B7" s="3" t="inlineStr">
        <is>
          <t>Run the scenarios in the order of the sections. Some scenarios use the result of an earlier one; its ID is named in the steps.</t>
        </is>
      </c>
    </row>
    <row r="8">
      <c r="A8" s="4" t="inlineStr">
        <is>
          <t>3.</t>
        </is>
      </c>
      <c r="B8" s="3" t="inlineStr">
        <is>
          <t>Sign in with an account of the role in the Role column (All: any account that may open the menu).</t>
        </is>
      </c>
    </row>
    <row r="9">
      <c r="A9" s="4" t="inlineStr">
        <is>
          <t>4.</t>
        </is>
      </c>
      <c r="B9" s="3" t="inlineStr">
        <is>
          <t>Compare what happens with the Expected result column, then tick one box in the Result column.</t>
        </is>
      </c>
    </row>
    <row r="10">
      <c r="A10" s="4" t="inlineStr">
        <is>
          <t>5.</t>
        </is>
      </c>
      <c r="B10" s="3" t="inlineStr">
        <is>
          <t>For each Fail, write what happened in the Notes column and in the Findings, with the scenario ID.</t>
        </is>
      </c>
    </row>
    <row r="11">
      <c r="A11" s="4" t="inlineStr">
        <is>
          <t>6.</t>
        </is>
      </c>
      <c r="B11" s="3" t="inlineStr">
        <is>
          <t>Once every section is done, fill in the Results summary, then sign the Sign-off page.</t>
        </is>
      </c>
    </row>
    <row r="12">
      <c r="A12" s="4" t="inlineStr">
        <is>
          <t>7.</t>
        </is>
      </c>
      <c r="B12" s="3" t="inlineStr">
        <is>
          <t>In this Excel file: choose the Status from the list (Pass, Fail, N/A); the Summary sheet counts them per section by itself.</t>
        </is>
      </c>
    </row>
    <row r="14">
      <c r="A14" s="2" t="inlineStr">
        <is>
          <t>Meaning of the Result column</t>
        </is>
      </c>
    </row>
    <row r="15">
      <c r="A15" s="5" t="inlineStr">
        <is>
          <t>Pass</t>
        </is>
      </c>
      <c r="B15" s="6" t="inlineStr">
        <is>
          <t>What happens is the expected result.</t>
        </is>
      </c>
    </row>
    <row r="16">
      <c r="A16" s="5" t="inlineStr">
        <is>
          <t>Fail</t>
        </is>
      </c>
      <c r="B16" s="6" t="inlineStr">
        <is>
          <t>What happens is different. Write what happened in Notes and record it in the Findings.</t>
        </is>
      </c>
    </row>
    <row r="17">
      <c r="A17" s="5" t="inlineStr">
        <is>
          <t>N/A</t>
        </is>
      </c>
      <c r="B17" s="6" t="inlineStr">
        <is>
          <t>Does not apply or cannot be tested in this environment. Write the reason in Notes.</t>
        </is>
      </c>
    </row>
    <row r="19">
      <c r="A19" s="2" t="inlineStr">
        <is>
          <t>Severity of findings</t>
        </is>
      </c>
    </row>
    <row r="20">
      <c r="A20" s="5" t="inlineStr">
        <is>
          <t>Critical</t>
        </is>
      </c>
      <c r="B20" s="6" t="inlineStr">
        <is>
          <t>The app cannot be used, data is damaged or lost, or a security problem.</t>
        </is>
      </c>
    </row>
    <row r="21">
      <c r="A21" s="5" t="inlineStr">
        <is>
          <t>High</t>
        </is>
      </c>
      <c r="B21" s="6" t="inlineStr">
        <is>
          <t>A main function fails and there is no other way.</t>
        </is>
      </c>
    </row>
    <row r="22">
      <c r="A22" s="5" t="inlineStr">
        <is>
          <t>Medium</t>
        </is>
      </c>
      <c r="B22" s="6" t="inlineStr">
        <is>
          <t>A function fails, but there is another way to get the work done.</t>
        </is>
      </c>
    </row>
    <row r="23">
      <c r="A23" s="5" t="inlineStr">
        <is>
          <t>Low</t>
        </is>
      </c>
      <c r="B23" s="6" t="inlineStr">
        <is>
          <t>Looks, texts or comfort; the work can still be done.</t>
        </is>
      </c>
    </row>
    <row r="25">
      <c r="A25" s="2" t="inlineStr">
        <is>
          <t>Role codes</t>
        </is>
      </c>
    </row>
    <row r="26">
      <c r="A26" s="5" t="inlineStr">
        <is>
          <t>SA</t>
        </is>
      </c>
      <c r="B26" s="6" t="inlineStr">
        <is>
          <t>Super Admin</t>
        </is>
      </c>
    </row>
    <row r="27">
      <c r="A27" s="5" t="inlineStr">
        <is>
          <t>AR</t>
        </is>
      </c>
      <c r="B27" s="6" t="inlineStr">
        <is>
          <t>Admin Radio</t>
        </is>
      </c>
    </row>
    <row r="28">
      <c r="A28" s="5" t="inlineStr">
        <is>
          <t>VR</t>
        </is>
      </c>
      <c r="B28" s="6" t="inlineStr">
        <is>
          <t>Viewer Radio</t>
        </is>
      </c>
    </row>
    <row r="29">
      <c r="A29" s="5" t="inlineStr">
        <is>
          <t>DC</t>
        </is>
      </c>
      <c r="B29" s="6" t="inlineStr">
        <is>
          <t>Document Controller</t>
        </is>
      </c>
    </row>
    <row r="30">
      <c r="A30" s="5" t="inlineStr">
        <is>
          <t>All</t>
        </is>
      </c>
      <c r="B30" s="6" t="inlineStr">
        <is>
          <t>any account that may open the menu</t>
        </is>
      </c>
    </row>
    <row r="32" ht="46" customHeight="1">
      <c r="A32" s="7" t="inlineStr">
        <is>
          <t>Data: use test radios, accounts and rows. An import that deletes the old data only on a test copy. The scenarios that write to the ICT Masterlist change the workbook in SharePoint: use rows agreed with the owner of the data. Put the data back after testing, and do not write passwords or tokens on this form.</t>
        </is>
      </c>
    </row>
  </sheetData>
  <mergeCells count="2">
    <mergeCell ref="A32:B32"/>
    <mergeCell ref="A5:B5"/>
  </mergeCells>
  <pageMargins left="0.4" right="0.4" top="0.5" bottom="0.5" header="0.5" footer="0.5"/>
  <pageSetup orientation="landscape" paperSize="9" fitToHeight="0" fitToWidth="1"/>
  <headerFooter>
    <oddHeader/>
    <oddFooter>&amp;LUAT Form MTI Radio Management · version 1.21.4&amp;RPage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8"/>
  <sheetViews>
    <sheetView workbookViewId="0">
      <selection activeCell="A1" sqref="A1"/>
    </sheetView>
  </sheetViews>
  <sheetFormatPr baseColWidth="8" defaultRowHeight="15"/>
  <cols>
    <col width="30" customWidth="1" min="1" max="1"/>
    <col width="28" customWidth="1" min="2" max="2"/>
    <col width="28" customWidth="1" min="3" max="3"/>
    <col width="28" customWidth="1" min="4" max="4"/>
    <col width="28" customWidth="1" min="5" max="5"/>
  </cols>
  <sheetData>
    <row r="1">
      <c r="A1" s="1" t="inlineStr">
        <is>
          <t>Test information</t>
        </is>
      </c>
    </row>
    <row r="3">
      <c r="A3" s="8" t="inlineStr">
        <is>
          <t>Application</t>
        </is>
      </c>
      <c r="B3" s="9" t="inlineStr">
        <is>
          <t>MTI Radio Management</t>
        </is>
      </c>
      <c r="C3" s="9" t="n"/>
      <c r="D3" s="9" t="n"/>
      <c r="E3" s="9" t="n"/>
    </row>
    <row r="4">
      <c r="A4" s="8" t="inlineStr">
        <is>
          <t>Version tested</t>
        </is>
      </c>
      <c r="B4" s="9" t="inlineStr">
        <is>
          <t>1.21.4 (check it against the version number in the footer of the app)</t>
        </is>
      </c>
      <c r="C4" s="9" t="n"/>
      <c r="D4" s="9" t="n"/>
      <c r="E4" s="9" t="n"/>
    </row>
    <row r="5">
      <c r="A5" s="8" t="inlineStr">
        <is>
          <t>Environment</t>
        </is>
      </c>
      <c r="B5" s="9" t="inlineStr">
        <is>
          <t>Test copy (UAT) / Production (choose one)</t>
        </is>
      </c>
      <c r="C5" s="9" t="n"/>
      <c r="D5" s="9" t="n"/>
      <c r="E5" s="9" t="n"/>
    </row>
    <row r="6">
      <c r="A6" s="8" t="inlineStr">
        <is>
          <t>Address of the app (URL)</t>
        </is>
      </c>
      <c r="B6" s="9" t="n"/>
      <c r="C6" s="9" t="n"/>
      <c r="D6" s="9" t="n"/>
      <c r="E6" s="9" t="n"/>
    </row>
    <row r="7">
      <c r="A7" s="8" t="inlineStr">
        <is>
          <t>Browser and its version</t>
        </is>
      </c>
      <c r="B7" s="9" t="n"/>
      <c r="C7" s="9" t="n"/>
      <c r="D7" s="9" t="n"/>
      <c r="E7" s="9" t="n"/>
    </row>
    <row r="8">
      <c r="A8" s="8" t="inlineStr">
        <is>
          <t>Phone for Stock Opname</t>
        </is>
      </c>
      <c r="B8" s="9" t="n"/>
      <c r="C8" s="9" t="n"/>
      <c r="D8" s="9" t="n"/>
      <c r="E8" s="9" t="n"/>
    </row>
    <row r="9">
      <c r="A9" s="8" t="inlineStr">
        <is>
          <t>Start / end date</t>
        </is>
      </c>
      <c r="B9" s="9" t="n"/>
      <c r="C9" s="9" t="n"/>
      <c r="D9" s="9" t="n"/>
      <c r="E9" s="9" t="n"/>
    </row>
    <row r="10">
      <c r="A10" s="8" t="inlineStr">
        <is>
          <t>Place of testing</t>
        </is>
      </c>
      <c r="B10" s="9" t="n"/>
      <c r="C10" s="9" t="n"/>
      <c r="D10" s="9" t="n"/>
      <c r="E10" s="9" t="n"/>
    </row>
    <row r="12">
      <c r="A12" s="2" t="inlineStr">
        <is>
          <t>Testers</t>
        </is>
      </c>
    </row>
    <row r="13">
      <c r="A13" s="10" t="inlineStr">
        <is>
          <t>No</t>
        </is>
      </c>
      <c r="B13" s="10" t="inlineStr">
        <is>
          <t>Name</t>
        </is>
      </c>
      <c r="C13" s="10" t="inlineStr">
        <is>
          <t>Position / Department</t>
        </is>
      </c>
      <c r="D13" s="10" t="inlineStr">
        <is>
          <t>Roles tested</t>
        </is>
      </c>
      <c r="E13" s="10" t="inlineStr">
        <is>
          <t>Initials</t>
        </is>
      </c>
    </row>
    <row r="14">
      <c r="A14" s="9" t="n">
        <v>1</v>
      </c>
      <c r="B14" s="9" t="n"/>
      <c r="C14" s="9" t="n"/>
      <c r="D14" s="9" t="n"/>
      <c r="E14" s="9" t="n"/>
    </row>
    <row r="15">
      <c r="A15" s="9" t="n">
        <v>2</v>
      </c>
      <c r="B15" s="9" t="n"/>
      <c r="C15" s="9" t="n"/>
      <c r="D15" s="9" t="n"/>
      <c r="E15" s="9" t="n"/>
    </row>
    <row r="16">
      <c r="A16" s="9" t="n">
        <v>3</v>
      </c>
      <c r="B16" s="9" t="n"/>
      <c r="C16" s="9" t="n"/>
      <c r="D16" s="9" t="n"/>
      <c r="E16" s="9" t="n"/>
    </row>
    <row r="17">
      <c r="A17" s="9" t="n">
        <v>4</v>
      </c>
      <c r="B17" s="9" t="n"/>
      <c r="C17" s="9" t="n"/>
      <c r="D17" s="9" t="n"/>
      <c r="E17" s="9" t="n"/>
    </row>
    <row r="18">
      <c r="A18" s="9" t="n">
        <v>5</v>
      </c>
      <c r="B18" s="9" t="n"/>
      <c r="C18" s="9" t="n"/>
      <c r="D18" s="9" t="n"/>
      <c r="E18" s="9" t="n"/>
    </row>
    <row r="19">
      <c r="A19" s="9" t="n">
        <v>6</v>
      </c>
      <c r="B19" s="9" t="n"/>
      <c r="C19" s="9" t="n"/>
      <c r="D19" s="9" t="n"/>
      <c r="E19" s="9" t="n"/>
    </row>
    <row r="20">
      <c r="A20" s="9" t="n">
        <v>7</v>
      </c>
      <c r="B20" s="9" t="n"/>
      <c r="C20" s="9" t="n"/>
      <c r="D20" s="9" t="n"/>
      <c r="E20" s="9" t="n"/>
    </row>
    <row r="21">
      <c r="A21" s="9" t="n">
        <v>8</v>
      </c>
      <c r="B21" s="9" t="n"/>
      <c r="C21" s="9" t="n"/>
      <c r="D21" s="9" t="n"/>
      <c r="E21" s="9" t="n"/>
    </row>
    <row r="23">
      <c r="A23" s="2" t="inlineStr">
        <is>
          <t>Test accounts per role</t>
        </is>
      </c>
    </row>
    <row r="24">
      <c r="A24" s="10" t="inlineStr">
        <is>
          <t>Role</t>
        </is>
      </c>
      <c r="B24" s="10" t="inlineStr">
        <is>
          <t>Account (e-mail / username)</t>
        </is>
      </c>
      <c r="C24" s="10" t="inlineStr">
        <is>
          <t>Used by</t>
        </is>
      </c>
    </row>
    <row r="25">
      <c r="A25" s="9" t="inlineStr">
        <is>
          <t>SA · Super Admin</t>
        </is>
      </c>
      <c r="B25" s="9" t="n"/>
      <c r="C25" s="9" t="n"/>
    </row>
    <row r="26">
      <c r="A26" s="9" t="inlineStr">
        <is>
          <t>AR · Admin Radio</t>
        </is>
      </c>
      <c r="B26" s="9" t="n"/>
      <c r="C26" s="9" t="n"/>
    </row>
    <row r="27">
      <c r="A27" s="9" t="inlineStr">
        <is>
          <t>VR · Viewer Radio</t>
        </is>
      </c>
      <c r="B27" s="9" t="n"/>
      <c r="C27" s="9" t="n"/>
    </row>
    <row r="28">
      <c r="A28" s="9" t="inlineStr">
        <is>
          <t>DC · Document Controller</t>
        </is>
      </c>
      <c r="B28" s="9" t="n"/>
      <c r="C28" s="9" t="n"/>
    </row>
  </sheetData>
  <mergeCells count="8">
    <mergeCell ref="B9:E9"/>
    <mergeCell ref="B8:E8"/>
    <mergeCell ref="B4:E4"/>
    <mergeCell ref="B6:E6"/>
    <mergeCell ref="B7:E7"/>
    <mergeCell ref="B3:E3"/>
    <mergeCell ref="B5:E5"/>
    <mergeCell ref="B10:E10"/>
  </mergeCells>
  <pageMargins left="0.4" right="0.4" top="0.5" bottom="0.5" header="0.5" footer="0.5"/>
  <pageSetup orientation="landscape" paperSize="9" fitToHeight="0" fitToWidth="1"/>
  <headerFooter>
    <oddHeader/>
    <oddFooter>&amp;LUAT Form MTI Radio Management · version 1.21.4&amp;RPage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9" customWidth="1" min="3" max="3"/>
    <col width="34" customWidth="1" min="4" max="4"/>
    <col width="62" customWidth="1" min="5" max="5"/>
    <col width="52" customWidth="1" min="6" max="6"/>
    <col width="11" customWidth="1" min="7" max="7"/>
    <col width="36" customWidth="1" min="8" max="8"/>
    <col width="18" customWidth="1" min="9" max="9"/>
    <col width="13" customWidth="1" min="10" max="10"/>
  </cols>
  <sheetData>
    <row r="1">
      <c r="A1" s="10" t="inlineStr">
        <is>
          <t>ID</t>
        </is>
      </c>
      <c r="B1" s="10" t="inlineStr">
        <is>
          <t>Section</t>
        </is>
      </c>
      <c r="C1" s="10" t="inlineStr">
        <is>
          <t>Role</t>
        </is>
      </c>
      <c r="D1" s="10" t="inlineStr">
        <is>
          <t>Scenario</t>
        </is>
      </c>
      <c r="E1" s="10" t="inlineStr">
        <is>
          <t>Steps</t>
        </is>
      </c>
      <c r="F1" s="10" t="inlineStr">
        <is>
          <t>Expected result</t>
        </is>
      </c>
      <c r="G1" s="10" t="inlineStr">
        <is>
          <t>Status</t>
        </is>
      </c>
      <c r="H1" s="10" t="inlineStr">
        <is>
          <t>Notes</t>
        </is>
      </c>
      <c r="I1" s="10" t="inlineStr">
        <is>
          <t>Tester</t>
        </is>
      </c>
      <c r="J1" s="10" t="inlineStr">
        <is>
          <t>Date</t>
        </is>
      </c>
    </row>
    <row r="2">
      <c r="A2" s="11" t="inlineStr">
        <is>
          <t>UAT-LOG-01</t>
        </is>
      </c>
      <c r="B2" s="6" t="inlineStr">
        <is>
          <t>Sign-in and sign-out</t>
        </is>
      </c>
      <c r="C2" s="6" t="inlineStr">
        <is>
          <t>All</t>
        </is>
      </c>
      <c r="D2" s="6" t="inlineStr">
        <is>
          <t>Sign in with Microsoft</t>
        </is>
      </c>
      <c r="E2" s="6" t="inlineStr">
        <is>
          <t>1. Open the address of the app.
2. Click Microsoft under Sign in with SSO.
3. Choose your work Microsoft account and finish the sign-in.</t>
        </is>
      </c>
      <c r="F2" s="6" t="inlineStr">
        <is>
          <t>The app opens on the home page of your role; your name and role show at the top right. The choice of Microsoft account always appears.</t>
        </is>
      </c>
      <c r="G2" s="12" t="n"/>
      <c r="H2" s="6" t="n"/>
      <c r="I2" s="6" t="n"/>
      <c r="J2" s="13" t="n"/>
    </row>
    <row r="3">
      <c r="A3" s="11" t="inlineStr">
        <is>
          <t>UAT-LOG-02</t>
        </is>
      </c>
      <c r="B3" s="6" t="inlineStr">
        <is>
          <t>Sign-in and sign-out</t>
        </is>
      </c>
      <c r="C3" s="6" t="inlineStr">
        <is>
          <t>All</t>
        </is>
      </c>
      <c r="D3" s="6" t="inlineStr">
        <is>
          <t>Sign in with a Merdeka Account (LDAP)</t>
        </is>
      </c>
      <c r="E3" s="6" t="inlineStr">
        <is>
          <t>1. In the Sign in with Merdeka Account form, fill in Email or username with the Windows username (without @...).
2. Fill in Password with the Windows password, then click Login.</t>
        </is>
      </c>
      <c r="F3" s="6" t="inlineStr">
        <is>
          <t>You are signed in on the home page of your role. The account must use the LDAP method in Registered Users.</t>
        </is>
      </c>
      <c r="G3" s="12" t="n"/>
      <c r="H3" s="6" t="n"/>
      <c r="I3" s="6" t="n"/>
      <c r="J3" s="13" t="n"/>
    </row>
    <row r="4">
      <c r="A4" s="11" t="inlineStr">
        <is>
          <t>UAT-LOG-03</t>
        </is>
      </c>
      <c r="B4" s="6" t="inlineStr">
        <is>
          <t>Sign-in and sign-out</t>
        </is>
      </c>
      <c r="C4" s="6" t="inlineStr">
        <is>
          <t>All</t>
        </is>
      </c>
      <c r="D4" s="6" t="inlineStr">
        <is>
          <t>A wrong password is refused</t>
        </is>
      </c>
      <c r="E4" s="6" t="inlineStr">
        <is>
          <t>1. Fill in the right Email or username and a wrong Password.
2. Click Login.</t>
        </is>
      </c>
      <c r="F4" s="6" t="inlineStr">
        <is>
          <t>The message "Wrong username or password!"; no sign-in. The Audit Log records "Sign-in failed" with its reason.</t>
        </is>
      </c>
      <c r="G4" s="12" t="n"/>
      <c r="H4" s="6" t="n"/>
      <c r="I4" s="6" t="n"/>
      <c r="J4" s="13" t="n"/>
    </row>
    <row r="5">
      <c r="A5" s="11" t="inlineStr">
        <is>
          <t>UAT-LOG-04</t>
        </is>
      </c>
      <c r="B5" s="6" t="inlineStr">
        <is>
          <t>Sign-in and sign-out</t>
        </is>
      </c>
      <c r="C5" s="6" t="inlineStr">
        <is>
          <t>All</t>
        </is>
      </c>
      <c r="D5" s="6" t="inlineStr">
        <is>
          <t>An unregistered Microsoft account is refused</t>
        </is>
      </c>
      <c r="E5" s="6" t="inlineStr">
        <is>
          <t>1. Click Microsoft and sign in with a Microsoft account that is not registered in the app.</t>
        </is>
      </c>
      <c r="F5" s="6" t="inlineStr">
        <is>
          <t>A message that the user is not registered in Microsoft SSO; no sign-in.</t>
        </is>
      </c>
      <c r="G5" s="12" t="n"/>
      <c r="H5" s="6" t="n"/>
      <c r="I5" s="6" t="n"/>
      <c r="J5" s="13" t="n"/>
    </row>
    <row r="6">
      <c r="A6" s="11" t="inlineStr">
        <is>
          <t>UAT-LOG-05</t>
        </is>
      </c>
      <c r="B6" s="6" t="inlineStr">
        <is>
          <t>Sign-in and sign-out</t>
        </is>
      </c>
      <c r="C6" s="6" t="inlineStr">
        <is>
          <t>SA</t>
        </is>
      </c>
      <c r="D6" s="6" t="inlineStr">
        <is>
          <t>An inactive account cannot sign in</t>
        </is>
      </c>
      <c r="E6" s="6" t="inlineStr">
        <is>
          <t>1. The Super Admin deactivates the test account in Registered Users.
2. Try to sign in with that test account, then activate the account again and retry.</t>
        </is>
      </c>
      <c r="F6" s="6" t="inlineStr">
        <is>
          <t>The message "Account inactive"; no sign-in. Once activated again, the account can sign in.</t>
        </is>
      </c>
      <c r="G6" s="12" t="n"/>
      <c r="H6" s="6" t="n"/>
      <c r="I6" s="6" t="n"/>
      <c r="J6" s="13" t="n"/>
    </row>
    <row r="7">
      <c r="A7" s="11" t="inlineStr">
        <is>
          <t>UAT-LOG-06</t>
        </is>
      </c>
      <c r="B7" s="6" t="inlineStr">
        <is>
          <t>Sign-in and sign-out</t>
        </is>
      </c>
      <c r="C7" s="6" t="inlineStr">
        <is>
          <t>All</t>
        </is>
      </c>
      <c r="D7" s="6" t="inlineStr">
        <is>
          <t>Session warning after inactivity</t>
        </is>
      </c>
      <c r="E7" s="6" t="inlineStr">
        <is>
          <t>1. Sign in, then leave the app without activity for 28 minutes.
2. When the warning appears, click Stay signed in.</t>
        </is>
      </c>
      <c r="F7" s="6" t="inlineStr">
        <is>
          <t>The dialog "Your session is about to end" with a 2-minute countdown; Stay signed in extends the session and the work can go on.</t>
        </is>
      </c>
      <c r="G7" s="12" t="n"/>
      <c r="H7" s="6" t="n"/>
      <c r="I7" s="6" t="n"/>
      <c r="J7" s="13" t="n"/>
    </row>
    <row r="8">
      <c r="A8" s="11" t="inlineStr">
        <is>
          <t>UAT-LOG-07</t>
        </is>
      </c>
      <c r="B8" s="6" t="inlineStr">
        <is>
          <t>Sign-in and sign-out</t>
        </is>
      </c>
      <c r="C8" s="6" t="inlineStr">
        <is>
          <t>All</t>
        </is>
      </c>
      <c r="D8" s="6" t="inlineStr">
        <is>
          <t>The session ends</t>
        </is>
      </c>
      <c r="E8" s="6" t="inlineStr">
        <is>
          <t>1. Let the countdown of the session warning run out without pressing any button.</t>
        </is>
      </c>
      <c r="F8" s="6" t="inlineStr">
        <is>
          <t>The page goes to the login with the message "Session expired" and its reason (inactive for 30 minutes). The Audit Log records the expired session.</t>
        </is>
      </c>
      <c r="G8" s="12" t="n"/>
      <c r="H8" s="6" t="n"/>
      <c r="I8" s="6" t="n"/>
      <c r="J8" s="13" t="n"/>
    </row>
    <row r="9">
      <c r="A9" s="11" t="inlineStr">
        <is>
          <t>UAT-LOG-08</t>
        </is>
      </c>
      <c r="B9" s="6" t="inlineStr">
        <is>
          <t>Sign-in and sign-out</t>
        </is>
      </c>
      <c r="C9" s="6" t="inlineStr">
        <is>
          <t>All</t>
        </is>
      </c>
      <c r="D9" s="6" t="inlineStr">
        <is>
          <t>Sign out</t>
        </is>
      </c>
      <c r="E9" s="6" t="inlineStr">
        <is>
          <t>1. Click your name at the top right, then Sign out.
2. Open a page of the app again.</t>
        </is>
      </c>
      <c r="F9" s="6" t="inlineStr">
        <is>
          <t>Back on the login page, and the pages of the app ask for a sign-in again. The Microsoft account in the browser stays signed in.</t>
        </is>
      </c>
      <c r="G9" s="12" t="n"/>
      <c r="H9" s="6" t="n"/>
      <c r="I9" s="6" t="n"/>
      <c r="J9" s="13" t="n"/>
    </row>
    <row r="10">
      <c r="A10" s="11" t="inlineStr">
        <is>
          <t>UAT-GEN-01</t>
        </is>
      </c>
      <c r="B10" s="6" t="inlineStr">
        <is>
          <t>Layout, language and Version history</t>
        </is>
      </c>
      <c r="C10" s="6" t="inlineStr">
        <is>
          <t>All</t>
        </is>
      </c>
      <c r="D10" s="6" t="inlineStr">
        <is>
          <t>Switch the language ID | EN</t>
        </is>
      </c>
      <c r="E10" s="6" t="inlineStr">
        <is>
          <t>1. Click EN in the top bar and open a few menus.
2. Sign out, then sign in again.
3. Click ID to go back.</t>
        </is>
      </c>
      <c r="F10" s="6" t="inlineStr">
        <is>
          <t>Menus, titles, buttons, tables, dialogs and messages show in English; the choice stays after signing in again (saved on the account). ID brings Indonesian back.</t>
        </is>
      </c>
      <c r="G10" s="12" t="n"/>
      <c r="H10" s="6" t="n"/>
      <c r="I10" s="6" t="n"/>
      <c r="J10" s="13" t="n"/>
    </row>
    <row r="11">
      <c r="A11" s="11" t="inlineStr">
        <is>
          <t>UAT-GEN-02</t>
        </is>
      </c>
      <c r="B11" s="6" t="inlineStr">
        <is>
          <t>Layout, language and Version history</t>
        </is>
      </c>
      <c r="C11" s="6" t="inlineStr">
        <is>
          <t>All</t>
        </is>
      </c>
      <c r="D11" s="6" t="inlineStr">
        <is>
          <t>Language and guide on the login page</t>
        </is>
      </c>
      <c r="E11" s="6" t="inlineStr">
        <is>
          <t>1. On the login page, click EN then ID at the bottom right.
2. Click Click here next to Access Login Guide:.</t>
        </is>
      </c>
      <c r="F11" s="6" t="inlineStr">
        <is>
          <t>The texts of the login page switch language; a summary of how to sign in shows.</t>
        </is>
      </c>
      <c r="G11" s="12" t="n"/>
      <c r="H11" s="6" t="n"/>
      <c r="I11" s="6" t="n"/>
      <c r="J11" s="13" t="n"/>
    </row>
    <row r="12">
      <c r="A12" s="11" t="inlineStr">
        <is>
          <t>UAT-GEN-03</t>
        </is>
      </c>
      <c r="B12" s="6" t="inlineStr">
        <is>
          <t>Layout, language and Version history</t>
        </is>
      </c>
      <c r="C12" s="6" t="inlineStr">
        <is>
          <t>AR</t>
        </is>
      </c>
      <c r="D12" s="6" t="inlineStr">
        <is>
          <t>Data stays as stored in English</t>
        </is>
      </c>
      <c r="E12" s="6" t="inlineStr">
        <is>
          <t>1. Choose EN, then open the details of a radio and Radio History.</t>
        </is>
      </c>
      <c r="F12" s="6" t="inlineStr">
        <is>
          <t>Labels and buttons in English; the history entries, notes and descriptions stay as stored (Indonesian). Locations and conditions show with their English names (for example With user, Good).</t>
        </is>
      </c>
      <c r="G12" s="12" t="n"/>
      <c r="H12" s="6" t="n"/>
      <c r="I12" s="6" t="n"/>
      <c r="J12" s="13" t="n"/>
    </row>
    <row r="13">
      <c r="A13" s="11" t="inlineStr">
        <is>
          <t>UAT-GEN-04</t>
        </is>
      </c>
      <c r="B13" s="6" t="inlineStr">
        <is>
          <t>Layout, language and Version history</t>
        </is>
      </c>
      <c r="C13" s="6" t="inlineStr">
        <is>
          <t>All</t>
        </is>
      </c>
      <c r="D13" s="6" t="inlineStr">
        <is>
          <t>Sidebar and breadcrumb</t>
        </is>
      </c>
      <c r="E13" s="6" t="inlineStr">
        <is>
          <t>1. Click the button at the left end of the top bar to shrink the sidebar, then reload the page.
2. Open the details of a radio, then click Register Radio in the breadcrumb.</t>
        </is>
      </c>
      <c r="F13" s="6" t="inlineStr">
        <is>
          <t>The sidebar becomes a row of icons and stays so after the reload; the menu name shows when the pointer is over an icon. The breadcrumb leads back to Register Radio.</t>
        </is>
      </c>
      <c r="G13" s="12" t="n"/>
      <c r="H13" s="6" t="n"/>
      <c r="I13" s="6" t="n"/>
      <c r="J13" s="13" t="n"/>
    </row>
    <row r="14">
      <c r="A14" s="11" t="inlineStr">
        <is>
          <t>UAT-GEN-05</t>
        </is>
      </c>
      <c r="B14" s="6" t="inlineStr">
        <is>
          <t>Layout, language and Version history</t>
        </is>
      </c>
      <c r="C14" s="6" t="inlineStr">
        <is>
          <t>All</t>
        </is>
      </c>
      <c r="D14" s="6" t="inlineStr">
        <is>
          <t>Version history</t>
        </is>
      </c>
      <c r="E14" s="6" t="inlineStr">
        <is>
          <t>1. Click the version number in the footer (for example v1.21.4).
2. Switch the language, then open the dialog again.</t>
        </is>
      </c>
      <c r="F14" s="6" t="inlineStr">
        <is>
          <t>The Version history dialog shows a timeline, newest first; the running version is marked This version. The legend and the labels of the kinds (Added, Changed, Fixed, ...) are always in English; the notes follow the chosen language.</t>
        </is>
      </c>
      <c r="G14" s="12" t="n"/>
      <c r="H14" s="6" t="n"/>
      <c r="I14" s="6" t="n"/>
      <c r="J14" s="13" t="n"/>
    </row>
    <row r="15">
      <c r="A15" s="11" t="inlineStr">
        <is>
          <t>UAT-GEN-06</t>
        </is>
      </c>
      <c r="B15" s="6" t="inlineStr">
        <is>
          <t>Layout, language and Version history</t>
        </is>
      </c>
      <c r="C15" s="6" t="inlineStr">
        <is>
          <t>VR</t>
        </is>
      </c>
      <c r="D15" s="6" t="inlineStr">
        <is>
          <t>A page without access</t>
        </is>
      </c>
      <c r="E15" s="6" t="inlineStr">
        <is>
          <t>1. Sign in as a Viewer Radio.
2. Type the address of a page that is not in its menu in the address bar, for example /audit-log.</t>
        </is>
      </c>
      <c r="F15" s="6" t="inlineStr">
        <is>
          <t>The page "You do not have access to this page" with the button To the home page; the content of the page does not show.</t>
        </is>
      </c>
      <c r="G15" s="12" t="n"/>
      <c r="H15" s="6" t="n"/>
      <c r="I15" s="6" t="n"/>
      <c r="J15" s="13" t="n"/>
    </row>
    <row r="16">
      <c r="A16" s="11" t="inlineStr">
        <is>
          <t>UAT-NOT-01</t>
        </is>
      </c>
      <c r="B16" s="6" t="inlineStr">
        <is>
          <t>Notifications</t>
        </is>
      </c>
      <c r="C16" s="6" t="inlineStr">
        <is>
          <t>DC</t>
        </is>
      </c>
      <c r="D16" s="6" t="inlineStr">
        <is>
          <t>Notification bell</t>
        </is>
      </c>
      <c r="E16" s="6" t="inlineStr">
        <is>
          <t>1. Make sure there is a new notification (for example the cell change request of UAT-ICT-03).
2. Click the bell, then click the notification.</t>
        </is>
      </c>
      <c r="F16" s="6" t="inlineStr">
        <is>
          <t>The red number on the bell is the unread count; clicking the notification marks it as read and opens its page (Edit Approvals).</t>
        </is>
      </c>
      <c r="G16" s="12" t="n"/>
      <c r="H16" s="6" t="n"/>
      <c r="I16" s="6" t="n"/>
      <c r="J16" s="13" t="n"/>
    </row>
    <row r="17">
      <c r="A17" s="11" t="inlineStr">
        <is>
          <t>UAT-NOT-02</t>
        </is>
      </c>
      <c r="B17" s="6" t="inlineStr">
        <is>
          <t>Notifications</t>
        </is>
      </c>
      <c r="C17" s="6" t="inlineStr">
        <is>
          <t>All</t>
        </is>
      </c>
      <c r="D17" s="6" t="inlineStr">
        <is>
          <t>Mark all as read and the Notifications page</t>
        </is>
      </c>
      <c r="E17" s="6" t="inlineStr">
        <is>
          <t>1. Click the bell, then Mark all as read.
2. Click See all notifications.</t>
        </is>
      </c>
      <c r="F17" s="6" t="inlineStr">
        <is>
          <t>The number on the bell goes away. The Notifications page opens with the tabs All, Unread, Radio, Documents and System with their counts, grouped Today, Yesterday and Earlier.</t>
        </is>
      </c>
      <c r="G17" s="12" t="n"/>
      <c r="H17" s="6" t="n"/>
      <c r="I17" s="6" t="n"/>
      <c r="J17" s="13" t="n"/>
    </row>
    <row r="18">
      <c r="A18" s="11" t="inlineStr">
        <is>
          <t>UAT-NOT-03</t>
        </is>
      </c>
      <c r="B18" s="6" t="inlineStr">
        <is>
          <t>Notifications</t>
        </is>
      </c>
      <c r="C18" s="6" t="inlineStr">
        <is>
          <t>All</t>
        </is>
      </c>
      <c r="D18" s="6" t="inlineStr">
        <is>
          <t>Mark one as read</t>
        </is>
      </c>
      <c r="E18" s="6" t="inlineStr">
        <is>
          <t>1. On the Notifications page, open the Unread tab.
2. Click Mark as read on one row.</t>
        </is>
      </c>
      <c r="F18" s="6" t="inlineStr">
        <is>
          <t>That row is marked as read without opening the notification; the count on the tab and on the bell goes down by one.</t>
        </is>
      </c>
      <c r="G18" s="12" t="n"/>
      <c r="H18" s="6" t="n"/>
      <c r="I18" s="6" t="n"/>
      <c r="J18" s="13" t="n"/>
    </row>
    <row r="19">
      <c r="A19" s="11" t="inlineStr">
        <is>
          <t>UAT-DSB-01</t>
        </is>
      </c>
      <c r="B19" s="6" t="inlineStr">
        <is>
          <t>Dashboard</t>
        </is>
      </c>
      <c r="C19" s="6" t="inlineStr">
        <is>
          <t>AR</t>
        </is>
      </c>
      <c r="D19" s="6" t="inlineStr">
        <is>
          <t>Dashboard number cards</t>
        </is>
      </c>
      <c r="E19" s="6" t="inlineStr">
        <is>
          <t>1. Open Dashboard.
2. Compare the Active radios card and the cards per location with the counts in Register Radio.
3. Click the IT stock card.</t>
        </is>
      </c>
      <c r="F19" s="6" t="inlineStr">
        <is>
          <t>The heading "Welcome to Radio Management System". The numbers match Register Radio; the card opens Register Radio already filtered on the location IT stock.</t>
        </is>
      </c>
      <c r="G19" s="12" t="n"/>
      <c r="H19" s="6" t="n"/>
      <c r="I19" s="6" t="n"/>
      <c r="J19" s="13" t="n"/>
    </row>
    <row r="20">
      <c r="A20" s="11" t="inlineStr">
        <is>
          <t>UAT-DSB-02</t>
        </is>
      </c>
      <c r="B20" s="6" t="inlineStr">
        <is>
          <t>Dashboard</t>
        </is>
      </c>
      <c r="C20" s="6" t="inlineStr">
        <is>
          <t>AR</t>
        </is>
      </c>
      <c r="D20" s="6" t="inlineStr">
        <is>
          <t>Condition of active radios</t>
        </is>
      </c>
      <c r="E20" s="6" t="inlineStr">
        <is>
          <t>1. In the Condition of active radios panel, click the slice or row Needs service.</t>
        </is>
      </c>
      <c r="F20" s="6" t="inlineStr">
        <is>
          <t>Register Radio opens filtered on the condition Needs service; the count matches the panel.</t>
        </is>
      </c>
      <c r="G20" s="12" t="n"/>
      <c r="H20" s="6" t="n"/>
      <c r="I20" s="6" t="n"/>
      <c r="J20" s="13" t="n"/>
    </row>
    <row r="21">
      <c r="A21" s="11" t="inlineStr">
        <is>
          <t>UAT-DSB-03</t>
        </is>
      </c>
      <c r="B21" s="6" t="inlineStr">
        <is>
          <t>Dashboard</t>
        </is>
      </c>
      <c r="C21" s="6" t="inlineStr">
        <is>
          <t>AR</t>
        </is>
      </c>
      <c r="D21" s="6" t="inlineStr">
        <is>
          <t>Next free Radio IDs</t>
        </is>
      </c>
      <c r="E21" s="6" t="inlineStr">
        <is>
          <t>1. Look at the Next free Radio IDs panel.
2. Work out the MDC Code (hexadecimal) of a few IDs shown.</t>
        </is>
      </c>
      <c r="F21" s="6" t="inlineStr">
        <is>
          <t>No ID whose MDC Code contains the letter F, and no ID already used by an active radio.</t>
        </is>
      </c>
      <c r="G21" s="12" t="n"/>
      <c r="H21" s="6" t="n"/>
      <c r="I21" s="6" t="n"/>
      <c r="J21" s="13" t="n"/>
    </row>
    <row r="22">
      <c r="A22" s="11" t="inlineStr">
        <is>
          <t>UAT-DSB-04</t>
        </is>
      </c>
      <c r="B22" s="6" t="inlineStr">
        <is>
          <t>Dashboard</t>
        </is>
      </c>
      <c r="C22" s="6" t="inlineStr">
        <is>
          <t>AR</t>
        </is>
      </c>
      <c r="D22" s="6" t="inlineStr">
        <is>
          <t>Needs action</t>
        </is>
      </c>
      <c r="E22" s="6" t="inlineStr">
        <is>
          <t>1. In the Needs action panel, click Show on one issue.
2. Go back to the Dashboard, then click Open inbox.</t>
        </is>
      </c>
      <c r="F22" s="6" t="inlineStr">
        <is>
          <t>Show opens Register Radio filtered on that issue with the same count; Open inbox opens Needs Attention.</t>
        </is>
      </c>
      <c r="G22" s="12" t="n"/>
      <c r="H22" s="6" t="n"/>
      <c r="I22" s="6" t="n"/>
      <c r="J22" s="13" t="n"/>
    </row>
    <row r="23">
      <c r="A23" s="11" t="inlineStr">
        <is>
          <t>UAT-DSB-05</t>
        </is>
      </c>
      <c r="B23" s="6" t="inlineStr">
        <is>
          <t>Dashboard</t>
        </is>
      </c>
      <c r="C23" s="6" t="inlineStr">
        <is>
          <t>VR</t>
        </is>
      </c>
      <c r="D23" s="6" t="inlineStr">
        <is>
          <t>Charts and recent activity</t>
        </is>
      </c>
      <c r="E23" s="6" t="inlineStr">
        <is>
          <t>1. Look at the panels Active radios per user company, Active radios per type and Recent activity.
2. Click a radio in Recent activity, then All history.</t>
        </is>
      </c>
      <c r="F23" s="6" t="inlineStr">
        <is>
          <t>The total in the middle of the ring equals the number of active radios; each bar per type carries its number. The link opens the radio's details, and All history opens Radio History.</t>
        </is>
      </c>
      <c r="G23" s="12" t="n"/>
      <c r="H23" s="6" t="n"/>
      <c r="I23" s="6" t="n"/>
      <c r="J23" s="13" t="n"/>
    </row>
    <row r="24">
      <c r="A24" s="11" t="inlineStr">
        <is>
          <t>UAT-REG-01</t>
        </is>
      </c>
      <c r="B24" s="6" t="inlineStr">
        <is>
          <t>Register Radio</t>
        </is>
      </c>
      <c r="C24" s="6" t="inlineStr">
        <is>
          <t>VR</t>
        </is>
      </c>
      <c r="D24" s="6" t="inlineStr">
        <is>
          <t>Search, sort and page</t>
        </is>
      </c>
      <c r="E24" s="6" t="inlineStr">
        <is>
          <t>1. Open Register Radio and type part of an SN, Radio ID or user name in the search box.
2. Click the Radio ID column heading, then change Rows per page and go to another page.</t>
        </is>
      </c>
      <c r="F24" s="6" t="inlineStr">
        <is>
          <t>The list changes while typing; the order and the rows per page follow the choice; the summary line "Showing … of …" is right.</t>
        </is>
      </c>
      <c r="G24" s="12" t="n"/>
      <c r="H24" s="6" t="n"/>
      <c r="I24" s="6" t="n"/>
      <c r="J24" s="13" t="n"/>
    </row>
    <row r="25">
      <c r="A25" s="11" t="inlineStr">
        <is>
          <t>UAT-REG-02</t>
        </is>
      </c>
      <c r="B25" s="6" t="inlineStr">
        <is>
          <t>Register Radio</t>
        </is>
      </c>
      <c r="C25" s="6" t="inlineStr">
        <is>
          <t>VR</t>
        </is>
      </c>
      <c r="D25" s="6" t="inlineStr">
        <is>
          <t>Active and archived radios</t>
        </is>
      </c>
      <c r="E25" s="6" t="inlineStr">
        <is>
          <t>1. Choose Archived, then All, then Active.</t>
        </is>
      </c>
      <c r="F25" s="6" t="inlineStr">
        <is>
          <t>Archived shows only archived radios, with the columns last user, archive date and reason; All shows both.</t>
        </is>
      </c>
      <c r="G25" s="12" t="n"/>
      <c r="H25" s="6" t="n"/>
      <c r="I25" s="6" t="n"/>
      <c r="J25" s="13" t="n"/>
    </row>
    <row r="26">
      <c r="A26" s="11" t="inlineStr">
        <is>
          <t>UAT-REG-03</t>
        </is>
      </c>
      <c r="B26" s="6" t="inlineStr">
        <is>
          <t>Register Radio</t>
        </is>
      </c>
      <c r="C26" s="6" t="inlineStr">
        <is>
          <t>VR</t>
        </is>
      </c>
      <c r="D26" s="6" t="inlineStr">
        <is>
          <t>Filters and Refresh</t>
        </is>
      </c>
      <c r="E26" s="6" t="inlineStr">
        <is>
          <t>1. Click Filter, choose for example Radio type and Condition, then Apply filters.
2. Type something in the search box, then click Refresh.
3. Click × on one chip, then Clear filters.</t>
        </is>
      </c>
      <c r="F26" s="6" t="inlineStr">
        <is>
          <t>Active filters show as chips after Applied:; Refresh fetches the latest list without clearing the search and filters; × removes one filter, Clear filters removes them all.</t>
        </is>
      </c>
      <c r="G26" s="12" t="n"/>
      <c r="H26" s="6" t="n"/>
      <c r="I26" s="6" t="n"/>
      <c r="J26" s="13" t="n"/>
    </row>
    <row r="27">
      <c r="A27" s="11" t="inlineStr">
        <is>
          <t>UAT-REG-04</t>
        </is>
      </c>
      <c r="B27" s="6" t="inlineStr">
        <is>
          <t>Register Radio</t>
        </is>
      </c>
      <c r="C27" s="6" t="inlineStr">
        <is>
          <t>VR</t>
        </is>
      </c>
      <c r="D27" s="6" t="inlineStr">
        <is>
          <t>Export Excel</t>
        </is>
      </c>
      <c r="E27" s="6" t="inlineStr">
        <is>
          <t>1. Set one filter, then click Export Excel.
2. Open the downloaded file.</t>
        </is>
      </c>
      <c r="F27" s="6" t="inlineStr">
        <is>
          <t>An .xlsx file with every radio matching the filter (not only the page shown).</t>
        </is>
      </c>
      <c r="G27" s="12" t="n"/>
      <c r="H27" s="6" t="n"/>
      <c r="I27" s="6" t="n"/>
      <c r="J27" s="13" t="n"/>
    </row>
    <row r="28">
      <c r="A28" s="11" t="inlineStr">
        <is>
          <t>UAT-REG-05</t>
        </is>
      </c>
      <c r="B28" s="6" t="inlineStr">
        <is>
          <t>Register Radio</t>
        </is>
      </c>
      <c r="C28" s="6" t="inlineStr">
        <is>
          <t>AR</t>
        </is>
      </c>
      <c r="D28" s="6" t="inlineStr">
        <is>
          <t>Add a radio</t>
        </is>
      </c>
      <c r="E28" s="6" t="inlineStr">
        <is>
          <t>1. Click Add radio.
2. Fill in a new SN, Radio type, Location and Condition (required), and a free Radio ID.
3. Click Save radio.</t>
        </is>
      </c>
      <c r="F28" s="6" t="inlineStr">
        <is>
          <t>The new radio is in the list; MDC Code, category and power are filled in automatically; a result message shows at the bottom of the screen; the radio's history records "Created".</t>
        </is>
      </c>
      <c r="G28" s="12" t="n"/>
      <c r="H28" s="6" t="n"/>
      <c r="I28" s="6" t="n"/>
      <c r="J28" s="13" t="n"/>
    </row>
    <row r="29">
      <c r="A29" s="11" t="inlineStr">
        <is>
          <t>UAT-REG-06</t>
        </is>
      </c>
      <c r="B29" s="6" t="inlineStr">
        <is>
          <t>Register Radio</t>
        </is>
      </c>
      <c r="C29" s="6" t="inlineStr">
        <is>
          <t>AR</t>
        </is>
      </c>
      <c r="D29" s="6" t="inlineStr">
        <is>
          <t>A Radio ID whose MDC contains F is refused</t>
        </is>
      </c>
      <c r="E29" s="6" t="inlineStr">
        <is>
          <t>1. In the radio form, type the Radio ID 751 (MDC 2EF).
2. Try to save with that ID.</t>
        </is>
      </c>
      <c r="F29" s="6" t="inlineStr">
        <is>
          <t>The form says right away that the ID cannot be used because its MDC Code contains F and offers a replacement that can be used (for example Use 768); saving with that ID is refused.</t>
        </is>
      </c>
      <c r="G29" s="12" t="n"/>
      <c r="H29" s="6" t="n"/>
      <c r="I29" s="6" t="n"/>
      <c r="J29" s="13" t="n"/>
    </row>
    <row r="30">
      <c r="A30" s="11" t="inlineStr">
        <is>
          <t>UAT-REG-07</t>
        </is>
      </c>
      <c r="B30" s="6" t="inlineStr">
        <is>
          <t>Register Radio</t>
        </is>
      </c>
      <c r="C30" s="6" t="inlineStr">
        <is>
          <t>AR</t>
        </is>
      </c>
      <c r="D30" s="6" t="inlineStr">
        <is>
          <t>A Radio ID already in use</t>
        </is>
      </c>
      <c r="E30" s="6" t="inlineStr">
        <is>
          <t>1. In the radio form, type a Radio ID used by another active radio.
2. Click Choose ID.</t>
        </is>
      </c>
      <c r="F30" s="6" t="inlineStr">
        <is>
          <t>The form says the ID is in use, with its holder; Choose ID shows the next free ID, and the IDs around it panel marks free, used or has an F.</t>
        </is>
      </c>
      <c r="G30" s="12" t="n"/>
      <c r="H30" s="6" t="n"/>
      <c r="I30" s="6" t="n"/>
      <c r="J30" s="13" t="n"/>
    </row>
    <row r="31">
      <c r="A31" s="11" t="inlineStr">
        <is>
          <t>UAT-REG-08</t>
        </is>
      </c>
      <c r="B31" s="6" t="inlineStr">
        <is>
          <t>Register Radio</t>
        </is>
      </c>
      <c r="C31" s="6" t="inlineStr">
        <is>
          <t>AR</t>
        </is>
      </c>
      <c r="D31" s="6" t="inlineStr">
        <is>
          <t>A duplicate SN is refused</t>
        </is>
      </c>
      <c r="E31" s="6" t="inlineStr">
        <is>
          <t>1. Add a radio with an SN that is already in the register, then click Save radio.</t>
        </is>
      </c>
      <c r="F31" s="6" t="inlineStr">
        <is>
          <t>Saving is refused with a message that the SN is already in use; no new radio.</t>
        </is>
      </c>
      <c r="G31" s="12" t="n"/>
      <c r="H31" s="6" t="n"/>
      <c r="I31" s="6" t="n"/>
      <c r="J31" s="13" t="n"/>
    </row>
    <row r="32">
      <c r="A32" s="11" t="inlineStr">
        <is>
          <t>UAT-REG-09</t>
        </is>
      </c>
      <c r="B32" s="6" t="inlineStr">
        <is>
          <t>Register Radio</t>
        </is>
      </c>
      <c r="C32" s="6" t="inlineStr">
        <is>
          <t>AR</t>
        </is>
      </c>
      <c r="D32" s="6" t="inlineStr">
        <is>
          <t>A change of a radio is recorded in its history</t>
        </is>
      </c>
      <c r="E32" s="6" t="inlineStr">
        <is>
          <t>1. Click the pencil icon (Edit) on a radio.
2. Change the User / unit name, Location or Condition, then Save changes.
3. Open the radio's details.</t>
        </is>
      </c>
      <c r="F32" s="6" t="inlineStr">
        <is>
          <t>The change is saved; the radio's history shows the old value struck through and the new value beside it; the Audit Log records the change with the values before and after.</t>
        </is>
      </c>
      <c r="G32" s="12" t="n"/>
      <c r="H32" s="6" t="n"/>
      <c r="I32" s="6" t="n"/>
      <c r="J32" s="13" t="n"/>
    </row>
    <row r="33">
      <c r="A33" s="11" t="inlineStr">
        <is>
          <t>UAT-REG-10</t>
        </is>
      </c>
      <c r="B33" s="6" t="inlineStr">
        <is>
          <t>Register Radio</t>
        </is>
      </c>
      <c r="C33" s="6" t="inlineStr">
        <is>
          <t>AR</t>
        </is>
      </c>
      <c r="D33" s="6" t="inlineStr">
        <is>
          <t>Two people save the same radio</t>
        </is>
      </c>
      <c r="E33" s="6" t="inlineStr">
        <is>
          <t>1. Two testers open the Edit form of the same radio.
2. The first tester saves a change.
3. The second tester saves another change.</t>
        </is>
      </c>
      <c r="F33" s="6" t="inlineStr">
        <is>
          <t>The second save is refused with a message that this radio was changed just now (with the name of who changed it); the first change is not overwritten.</t>
        </is>
      </c>
      <c r="G33" s="12" t="n"/>
      <c r="H33" s="6" t="n"/>
      <c r="I33" s="6" t="n"/>
      <c r="J33" s="13" t="n"/>
    </row>
    <row r="34">
      <c r="A34" s="11" t="inlineStr">
        <is>
          <t>UAT-REG-11</t>
        </is>
      </c>
      <c r="B34" s="6" t="inlineStr">
        <is>
          <t>Register Radio</t>
        </is>
      </c>
      <c r="C34" s="6" t="inlineStr">
        <is>
          <t>AR</t>
        </is>
      </c>
      <c r="D34" s="6" t="inlineStr">
        <is>
          <t>Archive a radio</t>
        </is>
      </c>
      <c r="E34" s="6" t="inlineStr">
        <is>
          <t>1. Click Archive on a test radio.
2. Choose a reason (for example Moved to another site), fill in the date and the note, then Archive radio.</t>
        </is>
      </c>
      <c r="F34" s="6" t="inlineStr">
        <is>
          <t>The radio moves to the Archived view with its reason and date; its Radio ID is released and can be used by another radio; the history records the archiving.</t>
        </is>
      </c>
      <c r="G34" s="12" t="n"/>
      <c r="H34" s="6" t="n"/>
      <c r="I34" s="6" t="n"/>
      <c r="J34" s="13" t="n"/>
    </row>
    <row r="35">
      <c r="A35" s="11" t="inlineStr">
        <is>
          <t>UAT-REG-12</t>
        </is>
      </c>
      <c r="B35" s="6" t="inlineStr">
        <is>
          <t>Register Radio</t>
        </is>
      </c>
      <c r="C35" s="6" t="inlineStr">
        <is>
          <t>AR</t>
        </is>
      </c>
      <c r="D35" s="6" t="inlineStr">
        <is>
          <t>Restore a radio</t>
        </is>
      </c>
      <c r="E35" s="6" t="inlineStr">
        <is>
          <t>1. In the Archived view, click Restore on the radio of UAT-REG-11.</t>
        </is>
      </c>
      <c r="F35" s="6" t="inlineStr">
        <is>
          <t>The radio is active again; its old Radio ID comes back unless another radio has taken it, in which case the ID stays empty.</t>
        </is>
      </c>
      <c r="G35" s="12" t="n"/>
      <c r="H35" s="6" t="n"/>
      <c r="I35" s="6" t="n"/>
      <c r="J35" s="13" t="n"/>
    </row>
    <row r="36">
      <c r="A36" s="11" t="inlineStr">
        <is>
          <t>UAT-REG-13</t>
        </is>
      </c>
      <c r="B36" s="6" t="inlineStr">
        <is>
          <t>Register Radio</t>
        </is>
      </c>
      <c r="C36" s="6" t="inlineStr">
        <is>
          <t>AR</t>
        </is>
      </c>
      <c r="D36" s="6" t="inlineStr">
        <is>
          <t>Select many</t>
        </is>
      </c>
      <c r="E36" s="6" t="inlineStr">
        <is>
          <t>1. Tick a few radios, go to another page, then tick some more.
2. Click Select all N radios of the filter, then Clear the selection.</t>
        </is>
      </c>
      <c r="F36" s="6" t="inlineStr">
        <is>
          <t>The selection is kept when changing pages; the bar above the table gives the number selected; Clear the selection removes them all.</t>
        </is>
      </c>
      <c r="G36" s="12" t="n"/>
      <c r="H36" s="6" t="n"/>
      <c r="I36" s="6" t="n"/>
      <c r="J36" s="13" t="n"/>
    </row>
    <row r="37">
      <c r="A37" s="11" t="inlineStr">
        <is>
          <t>UAT-REG-14</t>
        </is>
      </c>
      <c r="B37" s="6" t="inlineStr">
        <is>
          <t>Register Radio</t>
        </is>
      </c>
      <c r="C37" s="6" t="inlineStr">
        <is>
          <t>AR</t>
        </is>
      </c>
      <c r="D37" s="6" t="inlineStr">
        <is>
          <t>Verify today for many radios</t>
        </is>
      </c>
      <c r="E37" s="6" t="inlineStr">
        <is>
          <t>1. In the All view, tick a few active radios and one archived radio.
2. Click Verify today, choose the date, then confirm.</t>
        </is>
      </c>
      <c r="F37" s="6" t="inlineStr">
        <is>
          <t>The active radios get a "Verification" history entry and their verification date moves forward; the archived radio is skipped, with the reason given.</t>
        </is>
      </c>
      <c r="G37" s="12" t="n"/>
      <c r="H37" s="6" t="n"/>
      <c r="I37" s="6" t="n"/>
      <c r="J37" s="13" t="n"/>
    </row>
    <row r="38">
      <c r="A38" s="11" t="inlineStr">
        <is>
          <t>UAT-REG-15</t>
        </is>
      </c>
      <c r="B38" s="6" t="inlineStr">
        <is>
          <t>Register Radio</t>
        </is>
      </c>
      <c r="C38" s="6" t="inlineStr">
        <is>
          <t>AR</t>
        </is>
      </c>
      <c r="D38" s="6" t="inlineStr">
        <is>
          <t>Export selected and archive many radios</t>
        </is>
      </c>
      <c r="E38" s="6" t="inlineStr">
        <is>
          <t>1. Tick two test radios, click Export selected and open the file.
2. With the same radios ticked, click Archive, fill in the reason, date and note, then confirm.</t>
        </is>
      </c>
      <c r="F38" s="6" t="inlineStr">
        <is>
          <t>The Excel file holds only the ticked radios. Both radios are archived with one reason; archiving many works for at most 100 radios ticked one by one.</t>
        </is>
      </c>
      <c r="G38" s="12" t="n"/>
      <c r="H38" s="6" t="n"/>
      <c r="I38" s="6" t="n"/>
      <c r="J38" s="13" t="n"/>
    </row>
    <row r="39">
      <c r="A39" s="11" t="inlineStr">
        <is>
          <t>UAT-REG-16</t>
        </is>
      </c>
      <c r="B39" s="6" t="inlineStr">
        <is>
          <t>Register Radio</t>
        </is>
      </c>
      <c r="C39" s="6" t="inlineStr">
        <is>
          <t>AR</t>
        </is>
      </c>
      <c r="D39" s="6" t="inlineStr">
        <is>
          <t>Delete many radios entered by mistake</t>
        </is>
      </c>
      <c r="E39" s="6" t="inlineStr">
        <is>
          <t>1. Tick test radios entered by mistake, then click Delete.
2. Type the number of ticked radios as the confirmation.</t>
        </is>
      </c>
      <c r="F39" s="6" t="inlineStr">
        <is>
          <t>The deletion only runs once the number is typed right; the radios are deleted and recorded in the Audit Log. Only for wrong entries.</t>
        </is>
      </c>
      <c r="G39" s="12" t="n"/>
      <c r="H39" s="6" t="n"/>
      <c r="I39" s="6" t="n"/>
      <c r="J39" s="13" t="n"/>
    </row>
    <row r="40">
      <c r="A40" s="11" t="inlineStr">
        <is>
          <t>UAT-DET-01</t>
        </is>
      </c>
      <c r="B40" s="6" t="inlineStr">
        <is>
          <t>Radio details, handover and print form</t>
        </is>
      </c>
      <c r="C40" s="6" t="inlineStr">
        <is>
          <t>VR</t>
        </is>
      </c>
      <c r="D40" s="6" t="inlineStr">
        <is>
          <t>Radio details page</t>
        </is>
      </c>
      <c r="E40" s="6" t="inlineStr">
        <is>
          <t>1. Click a row in Register Radio.</t>
        </is>
      </c>
      <c r="F40" s="6" t="inlineStr">
        <is>
          <t>The details show Radio ID, MDC Code, SN, location and condition, the Check results card (if any), three data cards, the history (newest first) and the Original Excel data for imported radios. A Viewer does not see the Edit, Handover, Archive and delete buttons.</t>
        </is>
      </c>
      <c r="G40" s="12" t="n"/>
      <c r="H40" s="6" t="n"/>
      <c r="I40" s="6" t="n"/>
      <c r="J40" s="13" t="n"/>
    </row>
    <row r="41">
      <c r="A41" s="11" t="inlineStr">
        <is>
          <t>UAT-DET-02</t>
        </is>
      </c>
      <c r="B41" s="6" t="inlineStr">
        <is>
          <t>Radio details, handover and print form</t>
        </is>
      </c>
      <c r="C41" s="6" t="inlineStr">
        <is>
          <t>AR</t>
        </is>
      </c>
      <c r="D41" s="6" t="inlineStr">
        <is>
          <t>Add a history entry by hand</t>
        </is>
      </c>
      <c r="E41" s="6" t="inlineStr">
        <is>
          <t>1. In the radio details, click Add history.
2. Choose the kind Programming, fill in today's date and the description, then save.</t>
        </is>
      </c>
      <c r="F41" s="6" t="inlineStr">
        <is>
          <t>The new entry shows at the top of the radio's history and in Radio History; the radio's last programming date is updated too.</t>
        </is>
      </c>
      <c r="G41" s="12" t="n"/>
      <c r="H41" s="6" t="n"/>
      <c r="I41" s="6" t="n"/>
      <c r="J41" s="13" t="n"/>
    </row>
    <row r="42">
      <c r="A42" s="11" t="inlineStr">
        <is>
          <t>UAT-DET-03</t>
        </is>
      </c>
      <c r="B42" s="6" t="inlineStr">
        <is>
          <t>Radio details, handover and print form</t>
        </is>
      </c>
      <c r="C42" s="6" t="inlineStr">
        <is>
          <t>AR</t>
        </is>
      </c>
      <c r="D42" s="6" t="inlineStr">
        <is>
          <t>Delete a radio from its details</t>
        </is>
      </c>
      <c r="E42" s="6" t="inlineStr">
        <is>
          <t>1. In the details of a test radio, click Delete.
2. Type its Radio ID as the confirmation.</t>
        </is>
      </c>
      <c r="F42" s="6" t="inlineStr">
        <is>
          <t>The radio is deleted only after the Radio ID is typed right, and it is recorded in the Audit Log.</t>
        </is>
      </c>
      <c r="G42" s="12" t="n"/>
      <c r="H42" s="6" t="n"/>
      <c r="I42" s="6" t="n"/>
      <c r="J42" s="13" t="n"/>
    </row>
    <row r="43">
      <c r="A43" s="11" t="inlineStr">
        <is>
          <t>UAT-DET-04</t>
        </is>
      </c>
      <c r="B43" s="6" t="inlineStr">
        <is>
          <t>Radio details, handover and print form</t>
        </is>
      </c>
      <c r="C43" s="6" t="inlineStr">
        <is>
          <t>AR</t>
        </is>
      </c>
      <c r="D43" s="6" t="inlineStr">
        <is>
          <t>Handover with a signature</t>
        </is>
      </c>
      <c r="E43" s="6" t="inlineStr">
        <is>
          <t>1. In the radio details, click Handover.
2. Find the Receiver in the employee directory (or type the name), fill in BA No., tick the accessories, choose the condition and the location after the handover.
3. Ask the receiver to sign in the Receiver's signature box and tick the statement, then click Confirm the handover.</t>
        </is>
      </c>
      <c r="F43" s="6" t="inlineStr">
        <is>
          <t>The confirm button only works once there is a signature, and the BA No. is required. The radio is recorded as the receiver's, a "Handover" history entry is written with the BA No., and the checkout form opens with the receiver's signature under RESPONSIBLE USER.</t>
        </is>
      </c>
      <c r="G43" s="12" t="n"/>
      <c r="H43" s="6" t="n"/>
      <c r="I43" s="6" t="n"/>
      <c r="J43" s="13" t="n"/>
    </row>
    <row r="44">
      <c r="A44" s="11" t="inlineStr">
        <is>
          <t>UAT-DET-05</t>
        </is>
      </c>
      <c r="B44" s="6" t="inlineStr">
        <is>
          <t>Radio details, handover and print form</t>
        </is>
      </c>
      <c r="C44" s="6" t="inlineStr">
        <is>
          <t>AR</t>
        </is>
      </c>
      <c r="D44" s="6" t="inlineStr">
        <is>
          <t>The handover signature is not stored</t>
        </is>
      </c>
      <c r="E44" s="6" t="inlineStr">
        <is>
          <t>1. After UAT-DET-04, close the form, then open Print the form of the same radio.
2. Look at that handover record in the Audit Log.</t>
        </is>
      </c>
      <c r="F44" s="6" t="inlineStr">
        <is>
          <t>The RESPONSIBLE USER box is empty again; the receiver's signature is neither in the app nor in the Audit Log, only on the printout.</t>
        </is>
      </c>
      <c r="G44" s="12" t="n"/>
      <c r="H44" s="6" t="n"/>
      <c r="I44" s="6" t="n"/>
      <c r="J44" s="13" t="n"/>
    </row>
    <row r="45">
      <c r="A45" s="11" t="inlineStr">
        <is>
          <t>UAT-DET-06</t>
        </is>
      </c>
      <c r="B45" s="6" t="inlineStr">
        <is>
          <t>Radio details, handover and print form</t>
        </is>
      </c>
      <c r="C45" s="6" t="inlineStr">
        <is>
          <t>VR</t>
        </is>
      </c>
      <c r="D45" s="6" t="inlineStr">
        <is>
          <t>Print the checkout form</t>
        </is>
      </c>
      <c r="E45" s="6" t="inlineStr">
        <is>
          <t>1. Click Print the form in the radio details (or the printer icon in Register Radio).
2. Check the fields filled in, sign the RESPONSIBLE USER box on the screen, then Use signature.
3. Click Print, then close the pop-up with Close.</t>
        </is>
      </c>
      <c r="F45" s="6" t="inlineStr">
        <is>
          <t>The IT Equipment Checkout Form (MTI-HRM-ICT-FRM-001 Rev.000) is filled in from the register: ID No., Brand &amp; Type, Serial Number, name and department; the HT or RIG choice that is not its kind is struck out; it fits one A4 page. Clicking outside the pop-up or Esc does not close it.</t>
        </is>
      </c>
      <c r="G45" s="12" t="n"/>
      <c r="H45" s="6" t="n"/>
      <c r="I45" s="6" t="n"/>
      <c r="J45" s="13" t="n"/>
    </row>
    <row r="46">
      <c r="A46" s="11" t="inlineStr">
        <is>
          <t>UAT-DET-07</t>
        </is>
      </c>
      <c r="B46" s="6" t="inlineStr">
        <is>
          <t>Radio details, handover and print form</t>
        </is>
      </c>
      <c r="C46" s="6" t="inlineStr">
        <is>
          <t>SA</t>
        </is>
      </c>
      <c r="D46" s="6" t="inlineStr">
        <is>
          <t>PROCESSED BY signature from E-Sign Master</t>
        </is>
      </c>
      <c r="E46" s="6" t="inlineStr">
        <is>
          <t>1. Sign in with an account that has a signature in E-Sign Master, then open Print the form of a radio.
2. Repeat with an account without a signature.</t>
        </is>
      </c>
      <c r="F46" s="6" t="inlineStr">
        <is>
          <t>First account: its signature and name show under PROCESSED BY, and the use is recorded in the E-Sign use history. Second account: the PROCESSED BY box is empty, to be signed on paper.</t>
        </is>
      </c>
      <c r="G46" s="12" t="n"/>
      <c r="H46" s="6" t="n"/>
      <c r="I46" s="6" t="n"/>
      <c r="J46" s="13" t="n"/>
    </row>
    <row r="47">
      <c r="A47" s="11" t="inlineStr">
        <is>
          <t>UAT-ATT-01</t>
        </is>
      </c>
      <c r="B47" s="6" t="inlineStr">
        <is>
          <t>Needs Attention</t>
        </is>
      </c>
      <c r="C47" s="6" t="inlineStr">
        <is>
          <t>AR</t>
        </is>
      </c>
      <c r="D47" s="6" t="inlineStr">
        <is>
          <t>The Needs Attention page</t>
        </is>
      </c>
      <c r="E47" s="6" t="inlineStr">
        <is>
          <t>1. Open Needs Attention.
2. Choose a kind of check on the left, then an item in the middle.
3. Click Run the checks now.</t>
        </is>
      </c>
      <c r="F47" s="6" t="inlineStr">
        <is>
          <t>Left: the kinds of check with their open items; middle: the items; right: the details, the fixes and the assignment. The red number in the sidebar equals the open items; the checks run again right away.</t>
        </is>
      </c>
      <c r="G47" s="12" t="n"/>
      <c r="H47" s="6" t="n"/>
      <c r="I47" s="6" t="n"/>
      <c r="J47" s="13" t="n"/>
    </row>
    <row r="48">
      <c r="A48" s="11" t="inlineStr">
        <is>
          <t>UAT-ATT-02</t>
        </is>
      </c>
      <c r="B48" s="6" t="inlineStr">
        <is>
          <t>Needs Attention</t>
        </is>
      </c>
      <c r="C48" s="6" t="inlineStr">
        <is>
          <t>AR</t>
        </is>
      </c>
      <c r="D48" s="6" t="inlineStr">
        <is>
          <t>Fix a Radio ID that contains F</t>
        </is>
      </c>
      <c r="E48" s="6" t="inlineStr">
        <is>
          <t>1. Choose an item under Radio ID contains F.
2. Choose Use the next ID that can be used, then Apply.</t>
        </is>
      </c>
      <c r="F48" s="6" t="inlineStr">
        <is>
          <t>The radio gets a new ID whose MDC has no F; its history and the Audit Log record it; the item leaves the list and the number in the sidebar goes down.</t>
        </is>
      </c>
      <c r="G48" s="12" t="n"/>
      <c r="H48" s="6" t="n"/>
      <c r="I48" s="6" t="n"/>
      <c r="J48" s="13" t="n"/>
    </row>
    <row r="49">
      <c r="A49" s="11" t="inlineStr">
        <is>
          <t>UAT-ATT-03</t>
        </is>
      </c>
      <c r="B49" s="6" t="inlineStr">
        <is>
          <t>Needs Attention</t>
        </is>
      </c>
      <c r="C49" s="6" t="inlineStr">
        <is>
          <t>AR</t>
        </is>
      </c>
      <c r="D49" s="6" t="inlineStr">
        <is>
          <t>Record verification today</t>
        </is>
      </c>
      <c r="E49" s="6" t="inlineStr">
        <is>
          <t>1. Choose an item under Verified over 12 months ago (or Verification date empty).
2. Choose Record verification today, then Apply.</t>
        </is>
      </c>
      <c r="F49" s="6" t="inlineStr">
        <is>
          <t>The radio's verification date becomes today, a "Verification" history entry is recorded, and the item is done.</t>
        </is>
      </c>
      <c r="G49" s="12" t="n"/>
      <c r="H49" s="6" t="n"/>
      <c r="I49" s="6" t="n"/>
      <c r="J49" s="13" t="n"/>
    </row>
    <row r="50">
      <c r="A50" s="11" t="inlineStr">
        <is>
          <t>UAT-ATT-04</t>
        </is>
      </c>
      <c r="B50" s="6" t="inlineStr">
        <is>
          <t>Needs Attention</t>
        </is>
      </c>
      <c r="C50" s="6" t="inlineStr">
        <is>
          <t>AR</t>
        </is>
      </c>
      <c r="D50" s="6" t="inlineStr">
        <is>
          <t>Duplicate SN</t>
        </is>
      </c>
      <c r="E50" s="6" t="inlineStr">
        <is>
          <t>1. Choose an item under Duplicate SN.
2. Compare the radios, then choose Archive radio … as a duplicate and Apply.</t>
        </is>
      </c>
      <c r="F50" s="6" t="inlineStr">
        <is>
          <t>The radios show side by side with the differing columns marked; the duplicate is archived (its history stays) and the item is done.</t>
        </is>
      </c>
      <c r="G50" s="12" t="n"/>
      <c r="H50" s="6" t="n"/>
      <c r="I50" s="6" t="n"/>
      <c r="J50" s="13" t="n"/>
    </row>
    <row r="51">
      <c r="A51" s="11" t="inlineStr">
        <is>
          <t>UAT-ATT-05</t>
        </is>
      </c>
      <c r="B51" s="6" t="inlineStr">
        <is>
          <t>Needs Attention</t>
        </is>
      </c>
      <c r="C51" s="6" t="inlineStr">
        <is>
          <t>AR</t>
        </is>
      </c>
      <c r="D51" s="6" t="inlineStr">
        <is>
          <t>Dismiss with a reason</t>
        </is>
      </c>
      <c r="E51" s="6" t="inlineStr">
        <is>
          <t>1. Choose an item, then click Dismiss without a reason.
2. Fill in the reason, then Dismiss again.
3. Change that radio's data in Register Radio, then Run the checks now.</t>
        </is>
      </c>
      <c r="F51" s="6" t="inlineStr">
        <is>
          <t>Without a reason it is refused; with a reason the item closes. After the radio's data changes, the item comes back if the problem is still there.</t>
        </is>
      </c>
      <c r="G51" s="12" t="n"/>
      <c r="H51" s="6" t="n"/>
      <c r="I51" s="6" t="n"/>
      <c r="J51" s="13" t="n"/>
    </row>
    <row r="52">
      <c r="A52" s="11" t="inlineStr">
        <is>
          <t>UAT-ATT-06</t>
        </is>
      </c>
      <c r="B52" s="6" t="inlineStr">
        <is>
          <t>Needs Attention</t>
        </is>
      </c>
      <c r="C52" s="6" t="inlineStr">
        <is>
          <t>AR</t>
        </is>
      </c>
      <c r="D52" s="6" t="inlineStr">
        <is>
          <t>Assign an item</t>
        </is>
      </c>
      <c r="E52" s="6" t="inlineStr">
        <is>
          <t>1. Choose an item, then pick a name under Assigned to.
2. Sign in as that person, open Needs Attention and choose Assigned to me.</t>
        </is>
      </c>
      <c r="F52" s="6" t="inlineStr">
        <is>
          <t>The item shows under Assigned to me for that person and no longer under Unassigned; the Audit Log records the assignment.</t>
        </is>
      </c>
      <c r="G52" s="12" t="n"/>
      <c r="H52" s="6" t="n"/>
      <c r="I52" s="6" t="n"/>
      <c r="J52" s="13" t="n"/>
    </row>
    <row r="53">
      <c r="A53" s="11" t="inlineStr">
        <is>
          <t>UAT-SRV-01</t>
        </is>
      </c>
      <c r="B53" s="6" t="inlineStr">
        <is>
          <t>Service &amp; Repair</t>
        </is>
      </c>
      <c r="C53" s="6" t="inlineStr">
        <is>
          <t>AR</t>
        </is>
      </c>
      <c r="D53" s="6" t="inlineStr">
        <is>
          <t>Create a service ticket</t>
        </is>
      </c>
      <c r="E53" s="6" t="inlineStr">
        <is>
          <t>1. Open Service &amp; Repair, click New ticket.
2. Choose the radio, fill in Issue and Reported by, then save.</t>
        </is>
      </c>
      <c r="F53" s="6" t="inlineStr">
        <is>
          <t>A ticket numbered SRV-xxxx shows in the Reported step, and the message "Ticket SRV-xxxx created." appears.</t>
        </is>
      </c>
      <c r="G53" s="12" t="n"/>
      <c r="H53" s="6" t="n"/>
      <c r="I53" s="6" t="n"/>
      <c r="J53" s="13" t="n"/>
    </row>
    <row r="54">
      <c r="A54" s="11" t="inlineStr">
        <is>
          <t>UAT-SRV-02</t>
        </is>
      </c>
      <c r="B54" s="6" t="inlineStr">
        <is>
          <t>Service &amp; Repair</t>
        </is>
      </c>
      <c r="C54" s="6" t="inlineStr">
        <is>
          <t>AR</t>
        </is>
      </c>
      <c r="D54" s="6" t="inlineStr">
        <is>
          <t>One open ticket per radio</t>
        </is>
      </c>
      <c r="E54" s="6" t="inlineStr">
        <is>
          <t>1. Try to create a second ticket for the radio of UAT-SRV-01.
2. Try to create a ticket for an archived radio.</t>
        </is>
      </c>
      <c r="F54" s="6" t="inlineStr">
        <is>
          <t>Neither works: the radio cannot be chosen or saving is refused with the reason.</t>
        </is>
      </c>
      <c r="G54" s="12" t="n"/>
      <c r="H54" s="6" t="n"/>
      <c r="I54" s="6" t="n"/>
      <c r="J54" s="13" t="n"/>
    </row>
    <row r="55">
      <c r="A55" s="11" t="inlineStr">
        <is>
          <t>UAT-SRV-03</t>
        </is>
      </c>
      <c r="B55" s="6" t="inlineStr">
        <is>
          <t>Service &amp; Repair</t>
        </is>
      </c>
      <c r="C55" s="6" t="inlineStr">
        <is>
          <t>AR</t>
        </is>
      </c>
      <c r="D55" s="6" t="inlineStr">
        <is>
          <t>Send for service</t>
        </is>
      </c>
      <c r="E55" s="6" t="inlineStr">
        <is>
          <t>1. Open the ticket of UAT-SRV-01, click Send for service.
2. Fill in Service center (required), the send date, BA No. and the expected return, then save.</t>
        </is>
      </c>
      <c r="F55" s="6" t="inlineStr">
        <is>
          <t>The ticket moves to Sent for service; the radio's location becomes In service, and a "Service" history entry is recorded with the ticket number and the BA No.</t>
        </is>
      </c>
      <c r="G55" s="12" t="n"/>
      <c r="H55" s="6" t="n"/>
      <c r="I55" s="6" t="n"/>
      <c r="J55" s="13" t="n"/>
    </row>
    <row r="56">
      <c r="A56" s="11" t="inlineStr">
        <is>
          <t>UAT-SRV-04</t>
        </is>
      </c>
      <c r="B56" s="6" t="inlineStr">
        <is>
          <t>Service &amp; Repair</t>
        </is>
      </c>
      <c r="C56" s="6" t="inlineStr">
        <is>
          <t>AR</t>
        </is>
      </c>
      <c r="D56" s="6" t="inlineStr">
        <is>
          <t>From in repair until returned</t>
        </is>
      </c>
      <c r="E56" s="6" t="inlineStr">
        <is>
          <t>1. Click Mark as in repair, then Mark as ready for pickup with its cost.
2. Click Mark as returned: fill in the return date, Radio location afterwards and Condition when returned (required).</t>
        </is>
      </c>
      <c r="F56" s="6" t="inlineStr">
        <is>
          <t>The ticket goes through In repair, Ready for pickup, then Returned; the radio's location and condition are updated and a "Service" history entry is recorded; its cost counts in this quarter's cost.</t>
        </is>
      </c>
      <c r="G56" s="12" t="n"/>
      <c r="H56" s="6" t="n"/>
      <c r="I56" s="6" t="n"/>
      <c r="J56" s="13" t="n"/>
    </row>
    <row r="57">
      <c r="A57" s="11" t="inlineStr">
        <is>
          <t>UAT-SRV-05</t>
        </is>
      </c>
      <c r="B57" s="6" t="inlineStr">
        <is>
          <t>Service &amp; Repair</t>
        </is>
      </c>
      <c r="C57" s="6" t="inlineStr">
        <is>
          <t>VR</t>
        </is>
      </c>
      <c r="D57" s="6" t="inlineStr">
        <is>
          <t>Board, List and ticket details</t>
        </is>
      </c>
      <c r="E57" s="6" t="inlineStr">
        <is>
          <t>1. Switch between the Board and List views, search by Radio ID or SN, then filter by service center.
2. Click a ticket.</t>
        </is>
      </c>
      <c r="F57" s="6" t="inlineStr">
        <is>
          <t>The four numbers at the top (open tickets, average service time, late, cost this quarter) show; the list follows the search and filter; the ticket details show the steps, facts, activity and the Open the radio link. A Viewer does not see the step buttons and New ticket.</t>
        </is>
      </c>
      <c r="G57" s="12" t="n"/>
      <c r="H57" s="6" t="n"/>
      <c r="I57" s="6" t="n"/>
      <c r="J57" s="13" t="n"/>
    </row>
    <row r="58">
      <c r="A58" s="11" t="inlineStr">
        <is>
          <t>UAT-SRV-06</t>
        </is>
      </c>
      <c r="B58" s="6" t="inlineStr">
        <is>
          <t>Service &amp; Repair</t>
        </is>
      </c>
      <c r="C58" s="6" t="inlineStr">
        <is>
          <t>AR</t>
        </is>
      </c>
      <c r="D58" s="6" t="inlineStr">
        <is>
          <t>Notes and Export</t>
        </is>
      </c>
      <c r="E58" s="6" t="inlineStr">
        <is>
          <t>1. In the ticket details, write a note with Add a note.
2. Click Export and open the file.</t>
        </is>
      </c>
      <c r="F58" s="6" t="inlineStr">
        <is>
          <t>The note shows in the ticket's activity. The Excel file holds every ticket, including those already returned.</t>
        </is>
      </c>
      <c r="G58" s="12" t="n"/>
      <c r="H58" s="6" t="n"/>
      <c r="I58" s="6" t="n"/>
      <c r="J58" s="13" t="n"/>
    </row>
    <row r="59">
      <c r="A59" s="11" t="inlineStr">
        <is>
          <t>UAT-SRV-07</t>
        </is>
      </c>
      <c r="B59" s="6" t="inlineStr">
        <is>
          <t>Service &amp; Repair</t>
        </is>
      </c>
      <c r="C59" s="6" t="inlineStr">
        <is>
          <t>AR</t>
        </is>
      </c>
      <c r="D59" s="6" t="inlineStr">
        <is>
          <t>Two people move the same ticket</t>
        </is>
      </c>
      <c r="E59" s="6" t="inlineStr">
        <is>
          <t>1. Two testers open the same ticket.
2. The first moves it to the next step, then the second moves the same step.</t>
        </is>
      </c>
      <c r="F59" s="6" t="inlineStr">
        <is>
          <t>The second move is refused: "Someone else has moved this ticket on. Reload the page."</t>
        </is>
      </c>
      <c r="G59" s="12" t="n"/>
      <c r="H59" s="6" t="n"/>
      <c r="I59" s="6" t="n"/>
      <c r="J59" s="13" t="n"/>
    </row>
    <row r="60">
      <c r="A60" s="11" t="inlineStr">
        <is>
          <t>UAT-OPN-01</t>
        </is>
      </c>
      <c r="B60" s="6" t="inlineStr">
        <is>
          <t>Stock Opname</t>
        </is>
      </c>
      <c r="C60" s="6" t="inlineStr">
        <is>
          <t>AR</t>
        </is>
      </c>
      <c r="D60" s="6" t="inlineStr">
        <is>
          <t>Start a stock opname session</t>
        </is>
      </c>
      <c r="E60" s="6" t="inlineStr">
        <is>
          <t>1. Open Stock Opname on a phone.
2. Choose the Department (and Company if needed), then Start a session.</t>
        </is>
      </c>
      <c r="F60" s="6" t="inlineStr">
        <is>
          <t>The page without sidebar gives the number of radios expected and the last stock take, then a new session starts. If a session of that department is still open, the button is Continue the session.</t>
        </is>
      </c>
      <c r="G60" s="12" t="n"/>
      <c r="H60" s="6" t="n"/>
      <c r="I60" s="6" t="n"/>
      <c r="J60" s="13" t="n"/>
    </row>
    <row r="61">
      <c r="A61" s="11" t="inlineStr">
        <is>
          <t>UAT-OPN-02</t>
        </is>
      </c>
      <c r="B61" s="6" t="inlineStr">
        <is>
          <t>Stock Opname</t>
        </is>
      </c>
      <c r="C61" s="6" t="inlineStr">
        <is>
          <t>AR</t>
        </is>
      </c>
      <c r="D61" s="6" t="inlineStr">
        <is>
          <t>Scan the SN barcode</t>
        </is>
      </c>
      <c r="E61" s="6" t="inlineStr">
        <is>
          <t>1. In Chrome on Android, scan the SN barcode of a radio with the camera.
2. In another browser, type the Radio ID or SN, then click Find.</t>
        </is>
      </c>
      <c r="F61" s="6" t="inlineStr">
        <is>
          <t>The radio found shows with its holder and condition in the register.</t>
        </is>
      </c>
      <c r="G61" s="12" t="n"/>
      <c r="H61" s="6" t="n"/>
      <c r="I61" s="6" t="n"/>
      <c r="J61" s="13" t="n"/>
    </row>
    <row r="62">
      <c r="A62" s="11" t="inlineStr">
        <is>
          <t>UAT-OPN-03</t>
        </is>
      </c>
      <c r="B62" s="6" t="inlineStr">
        <is>
          <t>Stock Opname</t>
        </is>
      </c>
      <c r="C62" s="6" t="inlineStr">
        <is>
          <t>AR</t>
        </is>
      </c>
      <c r="D62" s="6" t="inlineStr">
        <is>
          <t>A radio not in the register</t>
        </is>
      </c>
      <c r="E62" s="6" t="inlineStr">
        <is>
          <t>1. Type an SN that is not in the register, then Find.</t>
        </is>
      </c>
      <c r="F62" s="6" t="inlineStr">
        <is>
          <t>The message "No radio in the register has that Radio ID or SN."</t>
        </is>
      </c>
      <c r="G62" s="12" t="n"/>
      <c r="H62" s="6" t="n"/>
      <c r="I62" s="6" t="n"/>
      <c r="J62" s="13" t="n"/>
    </row>
    <row r="63">
      <c r="A63" s="11" t="inlineStr">
        <is>
          <t>UAT-OPN-04</t>
        </is>
      </c>
      <c r="B63" s="6" t="inlineStr">
        <is>
          <t>Stock Opname</t>
        </is>
      </c>
      <c r="C63" s="6" t="inlineStr">
        <is>
          <t>AR</t>
        </is>
      </c>
      <c r="D63" s="6" t="inlineStr">
        <is>
          <t>Check a radio</t>
        </is>
      </c>
      <c r="E63" s="6" t="inlineStr">
        <is>
          <t>1. For a radio found, answer Who has it now? (for example Someone else with the name), choose the condition and fill in a note.
2. Click Verify radio.</t>
        </is>
      </c>
      <c r="F63" s="6" t="inlineStr">
        <is>
          <t>The scan is saved at once, and the radio counts in the session.</t>
        </is>
      </c>
      <c r="G63" s="12" t="n"/>
      <c r="H63" s="6" t="n"/>
      <c r="I63" s="6" t="n"/>
      <c r="J63" s="13" t="n"/>
    </row>
    <row r="64">
      <c r="A64" s="11" t="inlineStr">
        <is>
          <t>UAT-OPN-05</t>
        </is>
      </c>
      <c r="B64" s="6" t="inlineStr">
        <is>
          <t>Stock Opname</t>
        </is>
      </c>
      <c r="C64" s="6" t="inlineStr">
        <is>
          <t>AR</t>
        </is>
      </c>
      <c r="D64" s="6" t="inlineStr">
        <is>
          <t>Report a problem from the opname</t>
        </is>
      </c>
      <c r="E64" s="6" t="inlineStr">
        <is>
          <t>1. For a radio with a problem, write the issue in the note, then click Report a problem.</t>
        </is>
      </c>
      <c r="F64" s="6" t="inlineStr">
        <is>
          <t>A new ticket is created in Service &amp; Repair for that radio (needs the Create permission on Service &amp; Repair).</t>
        </is>
      </c>
      <c r="G64" s="12" t="n"/>
      <c r="H64" s="6" t="n"/>
      <c r="I64" s="6" t="n"/>
      <c r="J64" s="13" t="n"/>
    </row>
    <row r="65">
      <c r="A65" s="11" t="inlineStr">
        <is>
          <t>UAT-OPN-06</t>
        </is>
      </c>
      <c r="B65" s="6" t="inlineStr">
        <is>
          <t>Stock Opname</t>
        </is>
      </c>
      <c r="C65" s="6" t="inlineStr">
        <is>
          <t>AR</t>
        </is>
      </c>
      <c r="D65" s="6" t="inlineStr">
        <is>
          <t>Summary and send to the register</t>
        </is>
      </c>
      <c r="E65" s="6" t="inlineStr">
        <is>
          <t>1. Click See the summary.
2. Click Send to the register.</t>
        </is>
      </c>
      <c r="F65" s="6" t="inlineStr">
        <is>
          <t>The summary gives verified, not found, other holder and other department. After sending, every radio found gets a "Verification" history entry, changed conditions are updated, and the session is closed.</t>
        </is>
      </c>
      <c r="G65" s="12" t="n"/>
      <c r="H65" s="6" t="n"/>
      <c r="I65" s="6" t="n"/>
      <c r="J65" s="13" t="n"/>
    </row>
    <row r="66">
      <c r="A66" s="11" t="inlineStr">
        <is>
          <t>UAT-HIS-01</t>
        </is>
      </c>
      <c r="B66" s="6" t="inlineStr">
        <is>
          <t>Radio History</t>
        </is>
      </c>
      <c r="C66" s="6" t="inlineStr">
        <is>
          <t>VR</t>
        </is>
      </c>
      <c r="D66" s="6" t="inlineStr">
        <is>
          <t>Filter Radio History</t>
        </is>
      </c>
      <c r="E66" s="6" t="inlineStr">
        <is>
          <t>1. Open Radio History.
2. Type in the search box, choose several Kind values, then fill in From date and To date with the calendar.</t>
        </is>
      </c>
      <c r="F66" s="6" t="inlineStr">
        <is>
          <t>The list follows the filters at once; each kind shows its count; events outside the date range do not show.</t>
        </is>
      </c>
      <c r="G66" s="12" t="n"/>
      <c r="H66" s="6" t="n"/>
      <c r="I66" s="6" t="n"/>
      <c r="J66" s="13" t="n"/>
    </row>
    <row r="67">
      <c r="A67" s="11" t="inlineStr">
        <is>
          <t>UAT-HIS-02</t>
        </is>
      </c>
      <c r="B67" s="6" t="inlineStr">
        <is>
          <t>Radio History</t>
        </is>
      </c>
      <c r="C67" s="6" t="inlineStr">
        <is>
          <t>VR</t>
        </is>
      </c>
      <c r="D67" s="6" t="inlineStr">
        <is>
          <t>Content of Radio History</t>
        </is>
      </c>
      <c r="E67" s="6" t="inlineStr">
        <is>
          <t>1. Search for the radio used in the earlier scenarios (handover, service, verification, archiving).</t>
        </is>
      </c>
      <c r="F67" s="6" t="inlineStr">
        <is>
          <t>Each event of those scenarios shows with its date, kind, user, document no. and description, with a link to the radio.</t>
        </is>
      </c>
      <c r="G67" s="12" t="n"/>
      <c r="H67" s="6" t="n"/>
      <c r="I67" s="6" t="n"/>
      <c r="J67" s="13" t="n"/>
    </row>
    <row r="68">
      <c r="A68" s="11" t="inlineStr">
        <is>
          <t>UAT-MDR-01</t>
        </is>
      </c>
      <c r="B68" s="6" t="inlineStr">
        <is>
          <t>Radio Master Data</t>
        </is>
      </c>
      <c r="C68" s="6" t="inlineStr">
        <is>
          <t>AR</t>
        </is>
      </c>
      <c r="D68" s="6" t="inlineStr">
        <is>
          <t>Add a Radio Type</t>
        </is>
      </c>
      <c r="E68" s="6" t="inlineStr">
        <is>
          <t>1. Open Radio Master Data → Radio Types, click Add radio type.
2. Fill in Type name, Category and Power, tick Active, then save.
3. Open the Add radio form.</t>
        </is>
      </c>
      <c r="F68" s="6" t="inlineStr">
        <is>
          <t>The new type is in the list and can be chosen in the radio form; a radio of that type gets the category and power of its type.</t>
        </is>
      </c>
      <c r="G68" s="12" t="n"/>
      <c r="H68" s="6" t="n"/>
      <c r="I68" s="6" t="n"/>
      <c r="J68" s="13" t="n"/>
    </row>
    <row r="69">
      <c r="A69" s="11" t="inlineStr">
        <is>
          <t>UAT-MDR-02</t>
        </is>
      </c>
      <c r="B69" s="6" t="inlineStr">
        <is>
          <t>Radio Master Data</t>
        </is>
      </c>
      <c r="C69" s="6" t="inlineStr">
        <is>
          <t>AR</t>
        </is>
      </c>
      <c r="D69" s="6" t="inlineStr">
        <is>
          <t>Asset owner and Owner</t>
        </is>
      </c>
      <c r="E69" s="6" t="inlineStr">
        <is>
          <t>1. In the radio form, choose as Asset owner a company with the code MTI, then save.
2. Change it to another company, then save.</t>
        </is>
      </c>
      <c r="F69" s="6" t="inlineStr">
        <is>
          <t>The radio's Owner becomes MTI for the company coded MTI, and Non MTI for another company.</t>
        </is>
      </c>
      <c r="G69" s="12" t="n"/>
      <c r="H69" s="6" t="n"/>
      <c r="I69" s="6" t="n"/>
      <c r="J69" s="13" t="n"/>
    </row>
    <row r="70">
      <c r="A70" s="11" t="inlineStr">
        <is>
          <t>UAT-MDR-03</t>
        </is>
      </c>
      <c r="B70" s="6" t="inlineStr">
        <is>
          <t>Radio Master Data</t>
        </is>
      </c>
      <c r="C70" s="6" t="inlineStr">
        <is>
          <t>AR</t>
        </is>
      </c>
      <c r="D70" s="6" t="inlineStr">
        <is>
          <t>Deactivate and delete master data</t>
        </is>
      </c>
      <c r="E70" s="6" t="inlineStr">
        <is>
          <t>1. Deactivate a Department used by radios.
2. Try to delete that Department, then delete a new Department not used yet.</t>
        </is>
      </c>
      <c r="F70" s="6" t="inlineStr">
        <is>
          <t>An inactive Department can no longer be chosen for other radios, and radios already using it do not change; deleting one in use is refused, an unused one is deleted.</t>
        </is>
      </c>
      <c r="G70" s="12" t="n"/>
      <c r="H70" s="6" t="n"/>
      <c r="I70" s="6" t="n"/>
      <c r="J70" s="13" t="n"/>
    </row>
    <row r="71">
      <c r="A71" s="11" t="inlineStr">
        <is>
          <t>UAT-MDR-04</t>
        </is>
      </c>
      <c r="B71" s="6" t="inlineStr">
        <is>
          <t>Radio Master Data</t>
        </is>
      </c>
      <c r="C71" s="6" t="inlineStr">
        <is>
          <t>AR</t>
        </is>
      </c>
      <c r="D71" s="6" t="inlineStr">
        <is>
          <t>Channel Template and reprogramming</t>
        </is>
      </c>
      <c r="E71" s="6" t="inlineStr">
        <is>
          <t>1. Change Effective from of a Channel Template used by a test radio to today.
2. Open Needs Attention, then Run the checks now.</t>
        </is>
      </c>
      <c r="F71" s="6" t="inlineStr">
        <is>
          <t>Radios with that template last programmed before that date are marked Needs reprogramming.</t>
        </is>
      </c>
      <c r="G71" s="12" t="n"/>
      <c r="H71" s="6" t="n"/>
      <c r="I71" s="6" t="n"/>
      <c r="J71" s="13" t="n"/>
    </row>
    <row r="72">
      <c r="A72" s="11" t="inlineStr">
        <is>
          <t>UAT-ESG-01</t>
        </is>
      </c>
      <c r="B72" s="6" t="inlineStr">
        <is>
          <t>E-Sign Master</t>
        </is>
      </c>
      <c r="C72" s="6" t="inlineStr">
        <is>
          <t>SA</t>
        </is>
      </c>
      <c r="D72" s="6" t="inlineStr">
        <is>
          <t>Register a signature</t>
        </is>
      </c>
      <c r="E72" s="6" t="inlineStr">
        <is>
          <t>1. Open Radio Master Data → E-Sign Master, click Register a signature.
2. Choose the ICT officer's account, sign in the box (or upload a picture of the signature), then Save.</t>
        </is>
      </c>
      <c r="F72" s="6" t="inlineStr">
        <is>
          <t>The signature shows in the Grid view with its preview; one account can have only one signature.</t>
        </is>
      </c>
      <c r="G72" s="12" t="n"/>
      <c r="H72" s="6" t="n"/>
      <c r="I72" s="6" t="n"/>
      <c r="J72" s="13" t="n"/>
    </row>
    <row r="73">
      <c r="A73" s="11" t="inlineStr">
        <is>
          <t>UAT-ESG-02</t>
        </is>
      </c>
      <c r="B73" s="6" t="inlineStr">
        <is>
          <t>E-Sign Master</t>
        </is>
      </c>
      <c r="C73" s="6" t="inlineStr">
        <is>
          <t>SA</t>
        </is>
      </c>
      <c r="D73" s="6" t="inlineStr">
        <is>
          <t>Manage signatures</t>
        </is>
      </c>
      <c r="E73" s="6" t="inlineStr">
        <is>
          <t>1. Switch between Grid and List, then reload the page.
2. Open the use history of a signature, then deactivate that signature and activate it again.</t>
        </is>
      </c>
      <c r="F73" s="6" t="inlineStr">
        <is>
          <t>The view choice is remembered; the use history lists every printed form that used it; an inactive signature does not show under PROCESSED BY.</t>
        </is>
      </c>
      <c r="G73" s="12" t="n"/>
      <c r="H73" s="6" t="n"/>
      <c r="I73" s="6" t="n"/>
      <c r="J73" s="13" t="n"/>
    </row>
    <row r="74">
      <c r="A74" s="11" t="inlineStr">
        <is>
          <t>UAT-ESG-03</t>
        </is>
      </c>
      <c r="B74" s="6" t="inlineStr">
        <is>
          <t>E-Sign Master</t>
        </is>
      </c>
      <c r="C74" s="6" t="inlineStr">
        <is>
          <t>AR</t>
        </is>
      </c>
      <c r="D74" s="6" t="inlineStr">
        <is>
          <t>E-Sign Master is for the Super Admin only</t>
        </is>
      </c>
      <c r="E74" s="6" t="inlineStr">
        <is>
          <t>1. Sign in as an Admin Radio and open Radio Master Data.</t>
        </is>
      </c>
      <c r="F74" s="6" t="inlineStr">
        <is>
          <t>The E-Sign Master menu does not show; opening its address directly shows the no-access page.</t>
        </is>
      </c>
      <c r="G74" s="12" t="n"/>
      <c r="H74" s="6" t="n"/>
      <c r="I74" s="6" t="n"/>
      <c r="J74" s="13" t="n"/>
    </row>
    <row r="75">
      <c r="A75" s="11" t="inlineStr">
        <is>
          <t>UAT-IMP-01</t>
        </is>
      </c>
      <c r="B75" s="6" t="inlineStr">
        <is>
          <t>Import Excel</t>
        </is>
      </c>
      <c r="C75" s="6" t="inlineStr">
        <is>
          <t>AR</t>
        </is>
      </c>
      <c r="D75" s="6" t="inlineStr">
        <is>
          <t>Import into an empty register (test copy)</t>
        </is>
      </c>
      <c r="E75" s="6" t="inlineStr">
        <is>
          <t>1. On the test copy with an empty register, open Import Excel, choose the old register file (.xlsx), then Start the import.
2. Click the Open in Register Radio link for the radios marked Needs checking.</t>
        </is>
      </c>
      <c r="F75" s="6" t="inlineStr">
        <is>
          <t>The result shows in number tiles (read, imported, skipped, needs checking); the radios appear in Register Radio; the Needs checking radios open filtered.</t>
        </is>
      </c>
      <c r="G75" s="12" t="n"/>
      <c r="H75" s="6" t="n"/>
      <c r="I75" s="6" t="n"/>
      <c r="J75" s="13" t="n"/>
    </row>
    <row r="76">
      <c r="A76" s="11" t="inlineStr">
        <is>
          <t>UAT-IMP-02</t>
        </is>
      </c>
      <c r="B76" s="6" t="inlineStr">
        <is>
          <t>Import Excel</t>
        </is>
      </c>
      <c r="C76" s="6" t="inlineStr">
        <is>
          <t>AR</t>
        </is>
      </c>
      <c r="D76" s="6" t="inlineStr">
        <is>
          <t>Import into a register holding radios</t>
        </is>
      </c>
      <c r="E76" s="6" t="inlineStr">
        <is>
          <t>1. Choose a file and click Start the import without ticking the red box.
2. Tick the red box Delete every radio and all history before the import, then Start the import.</t>
        </is>
      </c>
      <c r="F76" s="6" t="inlineStr">
        <is>
          <t>Without the tick, the import is refused because the register already holds radios. With it, the app asks for a confirmation once more; only go on in a test copy.</t>
        </is>
      </c>
      <c r="G76" s="12" t="n"/>
      <c r="H76" s="6" t="n"/>
      <c r="I76" s="6" t="n"/>
      <c r="J76" s="13" t="n"/>
    </row>
    <row r="77">
      <c r="A77" s="11" t="inlineStr">
        <is>
          <t>UAT-IMP-03</t>
        </is>
      </c>
      <c r="B77" s="6" t="inlineStr">
        <is>
          <t>Import Excel</t>
        </is>
      </c>
      <c r="C77" s="6" t="inlineStr">
        <is>
          <t>AR</t>
        </is>
      </c>
      <c r="D77" s="6" t="inlineStr">
        <is>
          <t>An import that deletes the old data is refused</t>
        </is>
      </c>
      <c r="E77" s="6" t="inlineStr">
        <is>
          <t>1. Make sure a service ticket (UAT-SRV-01) or a stock opname session is open.
2. Run the import with the red box ticked.</t>
        </is>
      </c>
      <c r="F77" s="6" t="inlineStr">
        <is>
          <t>The import is refused with a message giving how many service tickets or stock opname sessions are still open; no data is deleted.</t>
        </is>
      </c>
      <c r="G77" s="12" t="n"/>
      <c r="H77" s="6" t="n"/>
      <c r="I77" s="6" t="n"/>
      <c r="J77" s="13" t="n"/>
    </row>
    <row r="78">
      <c r="A78" s="11" t="inlineStr">
        <is>
          <t>UAT-COF-01</t>
        </is>
      </c>
      <c r="B78" s="6" t="inlineStr">
        <is>
          <t>COF Scan</t>
        </is>
      </c>
      <c r="C78" s="6" t="inlineStr">
        <is>
          <t>DC</t>
        </is>
      </c>
      <c r="D78" s="6" t="inlineStr">
        <is>
          <t>COF Scan numbers and filters</t>
        </is>
      </c>
      <c r="E78" s="6" t="inlineStr">
        <is>
          <t>1. Open COF Scan with an account that may also open the ICT Masterlist.
2. Click Review on the warning about files not linked, then the filters All, Linked and Not linked.</t>
        </is>
      </c>
      <c r="F78" s="6" t="inlineStr">
        <is>
          <t>Three numbers Last synced, Linked to a row and Not linked for the whole folder; Review and the filters show the files by their status.</t>
        </is>
      </c>
      <c r="G78" s="12" t="n"/>
      <c r="H78" s="6" t="n"/>
      <c r="I78" s="6" t="n"/>
      <c r="J78" s="13" t="n"/>
    </row>
    <row r="79">
      <c r="A79" s="11" t="inlineStr">
        <is>
          <t>UAT-COF-02</t>
        </is>
      </c>
      <c r="B79" s="6" t="inlineStr">
        <is>
          <t>COF Scan</t>
        </is>
      </c>
      <c r="C79" s="6" t="inlineStr">
        <is>
          <t>DC</t>
        </is>
      </c>
      <c r="D79" s="6" t="inlineStr">
        <is>
          <t>Search and the Masterlist column</t>
        </is>
      </c>
      <c r="E79" s="6" t="inlineStr">
        <is>
          <t>1. Search by COF No. or name, then click a column heading to sort.
2. Click the link in the Masterlist column of a file.</t>
        </is>
      </c>
      <c r="F79" s="6" t="inlineStr">
        <is>
          <t>Names like ICTCOF123 - Name.pdf are split into COF No. and Name; the Masterlist column gives the row ("Row N", "Different name · row N" or "No row") and opens that row in the ICT Masterlist.</t>
        </is>
      </c>
      <c r="G79" s="12" t="n"/>
      <c r="H79" s="6" t="n"/>
      <c r="I79" s="6" t="n"/>
      <c r="J79" s="13" t="n"/>
    </row>
    <row r="80">
      <c r="A80" s="11" t="inlineStr">
        <is>
          <t>UAT-COF-03</t>
        </is>
      </c>
      <c r="B80" s="6" t="inlineStr">
        <is>
          <t>COF Scan</t>
        </is>
      </c>
      <c r="C80" s="6" t="inlineStr">
        <is>
          <t>DC</t>
        </is>
      </c>
      <c r="D80" s="6" t="inlineStr">
        <is>
          <t>View a scan file</t>
        </is>
      </c>
      <c r="E80" s="6" t="inlineStr">
        <is>
          <t>1. Click the eye icon (View) on a file, then the next and previous buttons.
2. Click the file name.</t>
        </is>
      </c>
      <c r="F80" s="6" t="inlineStr">
        <is>
          <t>The PDF or picture (up to 10 MB) shows in a pop-up and can move between files; the file name opens that file in SharePoint with the tester's Microsoft account.</t>
        </is>
      </c>
      <c r="G80" s="12" t="n"/>
      <c r="H80" s="6" t="n"/>
      <c r="I80" s="6" t="n"/>
      <c r="J80" s="13" t="n"/>
    </row>
    <row r="81">
      <c r="A81" s="11" t="inlineStr">
        <is>
          <t>UAT-COF-04</t>
        </is>
      </c>
      <c r="B81" s="6" t="inlineStr">
        <is>
          <t>COF Scan</t>
        </is>
      </c>
      <c r="C81" s="6" t="inlineStr">
        <is>
          <t>DC</t>
        </is>
      </c>
      <c r="D81" s="6" t="inlineStr">
        <is>
          <t>Reload and Reset</t>
        </is>
      </c>
      <c r="E81" s="6" t="inlineStr">
        <is>
          <t>1. Upload a test file to the COF folder in SharePoint, then click Reload; remove the test file again afterwards.
2. Click Reset.</t>
        </is>
      </c>
      <c r="F81" s="6" t="inlineStr">
        <is>
          <t>The new file shows right away (without Reload, within 10 minutes at most); Reset clears the search, filter and order.</t>
        </is>
      </c>
      <c r="G81" s="12" t="n"/>
      <c r="H81" s="6" t="n"/>
      <c r="I81" s="6" t="n"/>
      <c r="J81" s="13" t="n"/>
    </row>
    <row r="82">
      <c r="A82" s="11" t="inlineStr">
        <is>
          <t>UAT-ICT-01</t>
        </is>
      </c>
      <c r="B82" s="6" t="inlineStr">
        <is>
          <t>ICT Masterlist and Edit Approvals</t>
        </is>
      </c>
      <c r="C82" s="6" t="inlineStr">
        <is>
          <t>DC</t>
        </is>
      </c>
      <c r="D82" s="6" t="inlineStr">
        <is>
          <t>Read the ICT Masterlist</t>
        </is>
      </c>
      <c r="E82" s="6" t="inlineStr">
        <is>
          <t>1. Open ICT Masterlist and move between the sheet tabs.
2. Type two words in the search box.</t>
        </is>
      </c>
      <c r="F82" s="6" t="inlineStr">
        <is>
          <t>Each sheet is a tab with its row count; dates show as dd-mm-yyyy and formulas as their result; the search looks in all sheets and each tab gives the number of matching rows.</t>
        </is>
      </c>
      <c r="G82" s="12" t="n"/>
      <c r="H82" s="6" t="n"/>
      <c r="I82" s="6" t="n"/>
      <c r="J82" s="13" t="n"/>
    </row>
    <row r="83">
      <c r="A83" s="11" t="inlineStr">
        <is>
          <t>UAT-ICT-02</t>
        </is>
      </c>
      <c r="B83" s="6" t="inlineStr">
        <is>
          <t>ICT Masterlist and Edit Approvals</t>
        </is>
      </c>
      <c r="C83" s="6" t="inlineStr">
        <is>
          <t>DC</t>
        </is>
      </c>
      <c r="D83" s="6" t="inlineStr">
        <is>
          <t>Cross-check in the COF tab</t>
        </is>
      </c>
      <c r="E83" s="6" t="inlineStr">
        <is>
          <t>1. Open the COF tab, click the Missing card, then click it again.</t>
        </is>
      </c>
      <c r="F83" s="6" t="inlineStr">
        <is>
          <t>The File scan column and five cards (Total rows, Found, Missing, Different name, Subfolder) show; clicking a card filters its rows, clicking again shows all.</t>
        </is>
      </c>
      <c r="G83" s="12" t="n"/>
      <c r="H83" s="6" t="n"/>
      <c r="I83" s="6" t="n"/>
      <c r="J83" s="13" t="n"/>
    </row>
    <row r="84">
      <c r="A84" s="11" t="inlineStr">
        <is>
          <t>UAT-ICT-03</t>
        </is>
      </c>
      <c r="B84" s="6" t="inlineStr">
        <is>
          <t>ICT Masterlist and Edit Approvals</t>
        </is>
      </c>
      <c r="C84" s="6" t="inlineStr">
        <is>
          <t>AR</t>
        </is>
      </c>
      <c r="D84" s="6" t="inlineStr">
        <is>
          <t>Ask for a cell change</t>
        </is>
      </c>
      <c r="E84" s="6" t="inlineStr">
        <is>
          <t>1. Sign in as an Admin Radio, open ICT Masterlist, click the pencil in the test cell.
2. Fill in the new value, then click Ask for the change.
3. Try to click a cell holding a formula.</t>
        </is>
      </c>
      <c r="F84" s="6" t="inlineStr">
        <is>
          <t>The cell is marked waiting, and a cell can have only one waiting request; formula cells carry a padlock and cannot be asked for. The approvers get a notification.</t>
        </is>
      </c>
      <c r="G84" s="12" t="n"/>
      <c r="H84" s="6" t="n"/>
      <c r="I84" s="6" t="n"/>
      <c r="J84" s="13" t="n"/>
    </row>
    <row r="85">
      <c r="A85" s="11" t="inlineStr">
        <is>
          <t>UAT-ICT-04</t>
        </is>
      </c>
      <c r="B85" s="6" t="inlineStr">
        <is>
          <t>ICT Masterlist and Edit Approvals</t>
        </is>
      </c>
      <c r="C85" s="6" t="inlineStr">
        <is>
          <t>DC</t>
        </is>
      </c>
      <c r="D85" s="6" t="inlineStr">
        <is>
          <t>Approve a request</t>
        </is>
      </c>
      <c r="E85" s="6" t="inlineStr">
        <is>
          <t>1. Sign in as a Document Controller, open Edit Approvals, tab Pending.
2. Compare the old and new values, then click Approve.</t>
        </is>
      </c>
      <c r="F85" s="6" t="inlineStr">
        <is>
          <t>The status becomes Applied; the new value is written in the SharePoint workbook (a new version of the file); the requester gets a notification of the result.</t>
        </is>
      </c>
      <c r="G85" s="12" t="n"/>
      <c r="H85" s="6" t="n"/>
      <c r="I85" s="6" t="n"/>
      <c r="J85" s="13" t="n"/>
    </row>
    <row r="86">
      <c r="A86" s="11" t="inlineStr">
        <is>
          <t>UAT-ICT-05</t>
        </is>
      </c>
      <c r="B86" s="6" t="inlineStr">
        <is>
          <t>ICT Masterlist and Edit Approvals</t>
        </is>
      </c>
      <c r="C86" s="6" t="inlineStr">
        <is>
          <t>DC</t>
        </is>
      </c>
      <c r="D86" s="6" t="inlineStr">
        <is>
          <t>Reject a request</t>
        </is>
      </c>
      <c r="E86" s="6" t="inlineStr">
        <is>
          <t>1. For another request, click Reject and fill in the reason.</t>
        </is>
      </c>
      <c r="F86" s="6" t="inlineStr">
        <is>
          <t>Status Rejected; nothing is written to SharePoint; the requester gets a notification with the reason.</t>
        </is>
      </c>
      <c r="G86" s="12" t="n"/>
      <c r="H86" s="6" t="n"/>
      <c r="I86" s="6" t="n"/>
      <c r="J86" s="13" t="n"/>
    </row>
    <row r="87">
      <c r="A87" s="11" t="inlineStr">
        <is>
          <t>UAT-ICT-06</t>
        </is>
      </c>
      <c r="B87" s="6" t="inlineStr">
        <is>
          <t>ICT Masterlist and Edit Approvals</t>
        </is>
      </c>
      <c r="C87" s="6" t="inlineStr">
        <is>
          <t>AR</t>
        </is>
      </c>
      <c r="D87" s="6" t="inlineStr">
        <is>
          <t>The requester does not decide their own request</t>
        </is>
      </c>
      <c r="E87" s="6" t="inlineStr">
        <is>
          <t>1. Sign in as the Admin Radio who asked in UAT-ICT-03, then open Edit Approvals.</t>
        </is>
      </c>
      <c r="F87" s="6" t="inlineStr">
        <is>
          <t>The request shows as Pending, without the Approve and Reject buttons: a request is always decided by someone else.</t>
        </is>
      </c>
      <c r="G87" s="12" t="n"/>
      <c r="H87" s="6" t="n"/>
      <c r="I87" s="6" t="n"/>
      <c r="J87" s="13" t="n"/>
    </row>
    <row r="88">
      <c r="A88" s="11" t="inlineStr">
        <is>
          <t>UAT-ICT-07</t>
        </is>
      </c>
      <c r="B88" s="6" t="inlineStr">
        <is>
          <t>ICT Masterlist and Edit Approvals</t>
        </is>
      </c>
      <c r="C88" s="6" t="inlineStr">
        <is>
          <t>DC</t>
        </is>
      </c>
      <c r="D88" s="6" t="inlineStr">
        <is>
          <t>Conflict when the cell has changed</t>
        </is>
      </c>
      <c r="E88" s="6" t="inlineStr">
        <is>
          <t>1. An Admin Radio asks for a change of a test cell.
2. Change the same cell directly in Excel and save it there.
3. A Document Controller approves the request.</t>
        </is>
      </c>
      <c r="F88" s="6" t="inlineStr">
        <is>
          <t>The status becomes Conflict; the value in Excel is not overwritten; the requester is told to ask again from the latest value.</t>
        </is>
      </c>
      <c r="G88" s="12" t="n"/>
      <c r="H88" s="6" t="n"/>
      <c r="I88" s="6" t="n"/>
      <c r="J88" s="13" t="n"/>
    </row>
    <row r="89">
      <c r="A89" s="11" t="inlineStr">
        <is>
          <t>UAT-ICT-08</t>
        </is>
      </c>
      <c r="B89" s="6" t="inlineStr">
        <is>
          <t>ICT Masterlist and Edit Approvals</t>
        </is>
      </c>
      <c r="C89" s="6" t="inlineStr">
        <is>
          <t>DC</t>
        </is>
      </c>
      <c r="D89" s="6" t="inlineStr">
        <is>
          <t>Edit a row directly</t>
        </is>
      </c>
      <c r="E89" s="6" t="inlineStr">
        <is>
          <t>1. Sign in as a Document Controller, click the pencil on the number of the test row.
2. Change one or two fields, then Save.</t>
        </is>
      </c>
      <c r="F89" s="6" t="inlineStr">
        <is>
          <t>The Edit row dialog holds every column; formula cells, cells with a waiting request and the File scan column are read-only. The change is written at once; Edit Approvals says "Written directly by ..."; the Audit Log records it.</t>
        </is>
      </c>
      <c r="G89" s="12" t="n"/>
      <c r="H89" s="6" t="n"/>
      <c r="I89" s="6" t="n"/>
      <c r="J89" s="13" t="n"/>
    </row>
    <row r="90">
      <c r="A90" s="11" t="inlineStr">
        <is>
          <t>UAT-ICT-09</t>
        </is>
      </c>
      <c r="B90" s="6" t="inlineStr">
        <is>
          <t>ICT Masterlist and Edit Approvals</t>
        </is>
      </c>
      <c r="C90" s="6" t="inlineStr">
        <is>
          <t>DC</t>
        </is>
      </c>
      <c r="D90" s="6" t="inlineStr">
        <is>
          <t>Edit a row when the workbook changed or is locked</t>
        </is>
      </c>
      <c r="E90" s="6" t="inlineStr">
        <is>
          <t>1. Open the test row in Edit row, then change the same row in Excel and save it there.
2. Save in the app.
3. Repeat while the workbook is open in Excel desktop.</t>
        </is>
      </c>
      <c r="F90" s="6" t="inlineStr">
        <is>
          <t>Nothing is written; the message says the row has changed in SharePoint since the page was loaded, or the workbook is locked because somebody has it open in Excel.</t>
        </is>
      </c>
      <c r="G90" s="12" t="n"/>
      <c r="H90" s="6" t="n"/>
      <c r="I90" s="6" t="n"/>
      <c r="J90" s="13" t="n"/>
    </row>
    <row r="91">
      <c r="A91" s="11" t="inlineStr">
        <is>
          <t>UAT-SNP-01</t>
        </is>
      </c>
      <c r="B91" s="6" t="inlineStr">
        <is>
          <t>Snipe-IT</t>
        </is>
      </c>
      <c r="C91" s="6" t="inlineStr">
        <is>
          <t>SA</t>
        </is>
      </c>
      <c r="D91" s="6" t="inlineStr">
        <is>
          <t>Snipe-IT overview</t>
        </is>
      </c>
      <c r="E91" s="6" t="inlineStr">
        <is>
          <t>1. Open Snipe-IT → Overview.
2. Click Fetch again from Snipe-IT, then See all on one panel.</t>
        </is>
      </c>
      <c r="F91" s="6" t="inlineStr">
        <is>
          <t>The top line gives the Snipe-IT version and when the data was fetched; assets per status and per category and the count of each list show. Fetching again updates the time; See all opens its page.</t>
        </is>
      </c>
      <c r="G91" s="12" t="n"/>
      <c r="H91" s="6" t="n"/>
      <c r="I91" s="6" t="n"/>
      <c r="J91" s="13" t="n"/>
    </row>
    <row r="92">
      <c r="A92" s="11" t="inlineStr">
        <is>
          <t>UAT-SNP-02</t>
        </is>
      </c>
      <c r="B92" s="6" t="inlineStr">
        <is>
          <t>Snipe-IT</t>
        </is>
      </c>
      <c r="C92" s="6" t="inlineStr">
        <is>
          <t>SA</t>
        </is>
      </c>
      <c r="D92" s="6" t="inlineStr">
        <is>
          <t>Assets list</t>
        </is>
      </c>
      <c r="E92" s="6" t="inlineStr">
        <is>
          <t>1. Open Assets, then filter by category and status.
2. Search for an asset tag or SN, sort a column, then go to another page.</t>
        </is>
      </c>
      <c r="F92" s="6" t="inlineStr">
        <is>
          <t>Each row starts with the asset's picture (or its category icon) with the asset tag and its name; the filters show their counts; the results match Snipe-IT.</t>
        </is>
      </c>
      <c r="G92" s="12" t="n"/>
      <c r="H92" s="6" t="n"/>
      <c r="I92" s="6" t="n"/>
      <c r="J92" s="13" t="n"/>
    </row>
    <row r="93">
      <c r="A93" s="11" t="inlineStr">
        <is>
          <t>UAT-SNP-03</t>
        </is>
      </c>
      <c r="B93" s="6" t="inlineStr">
        <is>
          <t>Snipe-IT</t>
        </is>
      </c>
      <c r="C93" s="6" t="inlineStr">
        <is>
          <t>SA</t>
        </is>
      </c>
      <c r="D93" s="6" t="inlineStr">
        <is>
          <t>Asset details</t>
        </is>
      </c>
      <c r="E93" s="6" t="inlineStr">
        <is>
          <t>1. Click the eye button (See the details) at the end of an asset's row.
2. Click Open full size on its picture, then Open in Snipe-IT.</t>
        </is>
      </c>
      <c r="F93" s="6" t="inlineStr">
        <is>
          <t>The details show the asset data, holder and location, purchase and warranty, history (old value struck through, new beside it), custom fields, maintenance, licenses and audit times; the picture opens at full size; the same asset opens in Snipe-IT.</t>
        </is>
      </c>
      <c r="G93" s="12" t="n"/>
      <c r="H93" s="6" t="n"/>
      <c r="I93" s="6" t="n"/>
      <c r="J93" s="13" t="n"/>
    </row>
    <row r="94">
      <c r="A94" s="11" t="inlineStr">
        <is>
          <t>UAT-SNP-04</t>
        </is>
      </c>
      <c r="B94" s="6" t="inlineStr">
        <is>
          <t>Snipe-IT</t>
        </is>
      </c>
      <c r="C94" s="6" t="inlineStr">
        <is>
          <t>SA</t>
        </is>
      </c>
      <c r="D94" s="6" t="inlineStr">
        <is>
          <t>Secret custom fields are hidden</t>
        </is>
      </c>
      <c r="E94" s="6" t="inlineStr">
        <is>
          <t>1. Open the details of an asset with a secret custom field (for example a password or BitLocker key).</t>
        </is>
      </c>
      <c r="F94" s="6" t="inlineStr">
        <is>
          <t>Its value reads Hidden, in the history too; license keys do not show.</t>
        </is>
      </c>
      <c r="G94" s="12" t="n"/>
      <c r="H94" s="6" t="n"/>
      <c r="I94" s="6" t="n"/>
      <c r="J94" s="13" t="n"/>
    </row>
    <row r="95">
      <c r="A95" s="11" t="inlineStr">
        <is>
          <t>UAT-SNP-05</t>
        </is>
      </c>
      <c r="B95" s="6" t="inlineStr">
        <is>
          <t>Snipe-IT</t>
        </is>
      </c>
      <c r="C95" s="6" t="inlineStr">
        <is>
          <t>SA</t>
        </is>
      </c>
      <c r="D95" s="6" t="inlineStr">
        <is>
          <t>Catalog, People &amp; Organization, Licenses &amp; Stock, History</t>
        </is>
      </c>
      <c r="E95" s="6" t="inlineStr">
        <is>
          <t>1. Open each page and move between its list tabs.
2. In History → Activity log, filter by action.</t>
        </is>
      </c>
      <c r="F95" s="6" t="inlineStr">
        <is>
          <t>Each list shows with search, sort and paging; the Changes column of the Activity log is readable (for example "Status: Ready to Deploy → Deployed"); names and notes show as in Snipe-IT.</t>
        </is>
      </c>
      <c r="G95" s="12" t="n"/>
      <c r="H95" s="6" t="n"/>
      <c r="I95" s="6" t="n"/>
      <c r="J95" s="13" t="n"/>
    </row>
    <row r="96">
      <c r="A96" s="11" t="inlineStr">
        <is>
          <t>UAT-SNP-06</t>
        </is>
      </c>
      <c r="B96" s="6" t="inlineStr">
        <is>
          <t>Snipe-IT</t>
        </is>
      </c>
      <c r="C96" s="6" t="inlineStr">
        <is>
          <t>SA</t>
        </is>
      </c>
      <c r="D96" s="6" t="inlineStr">
        <is>
          <t>Snipe-IT is read only</t>
        </is>
      </c>
      <c r="E96" s="6" t="inlineStr">
        <is>
          <t>1. Check every Snipe-IT page.</t>
        </is>
      </c>
      <c r="F96" s="6" t="inlineStr">
        <is>
          <t>No button adds, changes or deletes Snipe-IT data; changes are made in Snipe-IT only.</t>
        </is>
      </c>
      <c r="G96" s="12" t="n"/>
      <c r="H96" s="6" t="n"/>
      <c r="I96" s="6" t="n"/>
      <c r="J96" s="13" t="n"/>
    </row>
    <row r="97">
      <c r="A97" s="11" t="inlineStr">
        <is>
          <t>UAT-SNP-07</t>
        </is>
      </c>
      <c r="B97" s="6" t="inlineStr">
        <is>
          <t>Snipe-IT</t>
        </is>
      </c>
      <c r="C97" s="6" t="inlineStr">
        <is>
          <t>AR</t>
        </is>
      </c>
      <c r="D97" s="6" t="inlineStr">
        <is>
          <t>Access to the Snipe-IT menu</t>
        </is>
      </c>
      <c r="E97" s="6" t="inlineStr">
        <is>
          <t>1. Sign in as an Admin Radio: the IT ASSETS section does not show.
2. The Super Admin grants that role Read on Snipe-IT → Assets in Role &amp; Permission, then the Admin Radio signs in again; afterwards, revoke the permission again.</t>
        </is>
      </c>
      <c r="F97" s="6" t="inlineStr">
        <is>
          <t>Without permission the menu does not show; with Read granted, Assets shows and opens (read only).</t>
        </is>
      </c>
      <c r="G97" s="12" t="n"/>
      <c r="H97" s="6" t="n"/>
      <c r="I97" s="6" t="n"/>
      <c r="J97" s="13" t="n"/>
    </row>
    <row r="98">
      <c r="A98" s="11" t="inlineStr">
        <is>
          <t>UAT-USR-01</t>
        </is>
      </c>
      <c r="B98" s="6" t="inlineStr">
        <is>
          <t>Registered Users</t>
        </is>
      </c>
      <c r="C98" s="6" t="inlineStr">
        <is>
          <t>SA</t>
        </is>
      </c>
      <c r="D98" s="6" t="inlineStr">
        <is>
          <t>Add a user with the Microsoft method</t>
        </is>
      </c>
      <c r="E98" s="6" t="inlineStr">
        <is>
          <t>1. Open User Management → Registered Users, click Add user.
2. Choose the Sign-in method Microsoft, type a name in Find employee, then pick the person.
3. Choose the Role and Status, click Submit, then answer Is the data correct?.</t>
        </is>
      </c>
      <c r="F98" s="6" t="inlineStr">
        <is>
          <t>Name and Email are filled in from the HR database; the new user shows in the list; that person can sign in with the Microsoft button.</t>
        </is>
      </c>
      <c r="G98" s="12" t="n"/>
      <c r="H98" s="6" t="n"/>
      <c r="I98" s="6" t="n"/>
      <c r="J98" s="13" t="n"/>
    </row>
    <row r="99">
      <c r="A99" s="11" t="inlineStr">
        <is>
          <t>UAT-USR-02</t>
        </is>
      </c>
      <c r="B99" s="6" t="inlineStr">
        <is>
          <t>Registered Users</t>
        </is>
      </c>
      <c r="C99" s="6" t="inlineStr">
        <is>
          <t>SA</t>
        </is>
      </c>
      <c r="D99" s="6" t="inlineStr">
        <is>
          <t>Add a user with the LDAP method</t>
        </is>
      </c>
      <c r="E99" s="6" t="inlineStr">
        <is>
          <t>1. In Add user, choose the Sign-in method LDAP, then find the person with Find employee.
2. Submit; repeat with a Directory username that is not in Active Directory.</t>
        </is>
      </c>
      <c r="F99" s="6" t="inlineStr">
        <is>
          <t>Name, Email and Directory username are filled in from Active Directory; a username that does not exist or is disabled is refused on submit.</t>
        </is>
      </c>
      <c r="G99" s="12" t="n"/>
      <c r="H99" s="6" t="n"/>
      <c r="I99" s="6" t="n"/>
      <c r="J99" s="13" t="n"/>
    </row>
    <row r="100">
      <c r="A100" s="11" t="inlineStr">
        <is>
          <t>UAT-USR-03</t>
        </is>
      </c>
      <c r="B100" s="6" t="inlineStr">
        <is>
          <t>Registered Users</t>
        </is>
      </c>
      <c r="C100" s="6" t="inlineStr">
        <is>
          <t>SA</t>
        </is>
      </c>
      <c r="D100" s="6" t="inlineStr">
        <is>
          <t>User list and filters</t>
        </is>
      </c>
      <c r="E100" s="6" t="inlineStr">
        <is>
          <t>1. Filter the list by name or e-mail, role and status.</t>
        </is>
      </c>
      <c r="F100" s="6" t="inlineStr">
        <is>
          <t>The list shows No, Name, Email, Role, Status, Sign-in (Microsoft, LDAP, Both, Password, Pending) and Last sign-in matching the filters.</t>
        </is>
      </c>
      <c r="G100" s="12" t="n"/>
      <c r="H100" s="6" t="n"/>
      <c r="I100" s="6" t="n"/>
      <c r="J100" s="13" t="n"/>
    </row>
    <row r="101">
      <c r="A101" s="11" t="inlineStr">
        <is>
          <t>UAT-USR-04</t>
        </is>
      </c>
      <c r="B101" s="6" t="inlineStr">
        <is>
          <t>Registered Users</t>
        </is>
      </c>
      <c r="C101" s="6" t="inlineStr">
        <is>
          <t>SA</t>
        </is>
      </c>
      <c r="D101" s="6" t="inlineStr">
        <is>
          <t>Deactivate and activate an account</t>
        </is>
      </c>
      <c r="E101" s="6" t="inlineStr">
        <is>
          <t>1. Keep the test account signed in in another browser.
2. Click Deactivate on that account, then the test account clicks a menu.
3. Click Activate.</t>
        </is>
      </c>
      <c r="F101" s="6" t="inlineStr">
        <is>
          <t>The test account's session ends on its next click and its sign-in is refused "Account inactive"; once activated, the account can sign in again.</t>
        </is>
      </c>
      <c r="G101" s="12" t="n"/>
      <c r="H101" s="6" t="n"/>
      <c r="I101" s="6" t="n"/>
      <c r="J101" s="13" t="n"/>
    </row>
    <row r="102">
      <c r="A102" s="11" t="inlineStr">
        <is>
          <t>UAT-USR-05</t>
        </is>
      </c>
      <c r="B102" s="6" t="inlineStr">
        <is>
          <t>Registered Users</t>
        </is>
      </c>
      <c r="C102" s="6" t="inlineStr">
        <is>
          <t>SA</t>
        </is>
      </c>
      <c r="D102" s="6" t="inlineStr">
        <is>
          <t>Set a password</t>
        </is>
      </c>
      <c r="E102" s="6" t="inlineStr">
        <is>
          <t>1. On a test account that is not LDAP, click Set password and fill in a new password.
2. Sign in with that account using the new password.</t>
        </is>
      </c>
      <c r="F102" s="6" t="inlineStr">
        <is>
          <t>The sign-in works with the new password; LDAP accounts have no Set password button.</t>
        </is>
      </c>
      <c r="G102" s="12" t="n"/>
      <c r="H102" s="6" t="n"/>
      <c r="I102" s="6" t="n"/>
      <c r="J102" s="13" t="n"/>
    </row>
    <row r="103">
      <c r="A103" s="11" t="inlineStr">
        <is>
          <t>UAT-USR-06</t>
        </is>
      </c>
      <c r="B103" s="6" t="inlineStr">
        <is>
          <t>Registered Users</t>
        </is>
      </c>
      <c r="C103" s="6" t="inlineStr">
        <is>
          <t>SA</t>
        </is>
      </c>
      <c r="D103" s="6" t="inlineStr">
        <is>
          <t>Actions on many accounts</t>
        </is>
      </c>
      <c r="E103" s="6" t="inlineStr">
        <is>
          <t>1. Tick two test accounts, click Deactivate, then Activate.
2. Tick a test account, click Delete, then type the count.
3. Try to tick your own account.</t>
        </is>
      </c>
      <c r="F103" s="6" t="inlineStr">
        <is>
          <t>The action applies to every ticked account (at most 100); deleting is confirmed by typing the count; your own account cannot be ticked.</t>
        </is>
      </c>
      <c r="G103" s="12" t="n"/>
      <c r="H103" s="6" t="n"/>
      <c r="I103" s="6" t="n"/>
      <c r="J103" s="13" t="n"/>
    </row>
    <row r="104">
      <c r="A104" s="11" t="inlineStr">
        <is>
          <t>UAT-ROL-01</t>
        </is>
      </c>
      <c r="B104" s="6" t="inlineStr">
        <is>
          <t>Role &amp; Permission</t>
        </is>
      </c>
      <c r="C104" s="6" t="inlineStr">
        <is>
          <t>SA</t>
        </is>
      </c>
      <c r="D104" s="6" t="inlineStr">
        <is>
          <t>Add a role</t>
        </is>
      </c>
      <c r="E104" s="6" t="inlineStr">
        <is>
          <t>1. Open Role &amp; Permission, click Add Role.
2. Fill in the name and Home Page, tick Read on a few menus under Menu &amp; Permission, then save.
3. Give that role to the test account, then sign in with it.</t>
        </is>
      </c>
      <c r="F104" s="6" t="inlineStr">
        <is>
          <t>The test account lands on the role's home page and sees only the menus it was given.</t>
        </is>
      </c>
      <c r="G104" s="12" t="n"/>
      <c r="H104" s="6" t="n"/>
      <c r="I104" s="6" t="n"/>
      <c r="J104" s="13" t="n"/>
    </row>
    <row r="105">
      <c r="A105" s="11" t="inlineStr">
        <is>
          <t>UAT-ROL-02</t>
        </is>
      </c>
      <c r="B105" s="6" t="inlineStr">
        <is>
          <t>Role &amp; Permission</t>
        </is>
      </c>
      <c r="C105" s="6" t="inlineStr">
        <is>
          <t>SA</t>
        </is>
      </c>
      <c r="D105" s="6" t="inlineStr">
        <is>
          <t>Permissions apply at once</t>
        </is>
      </c>
      <c r="E105" s="6" t="inlineStr">
        <is>
          <t>1. Revoke Update on Register Radio from the test account's role.
2. The test account opens Register Radio and the details of a radio.</t>
        </is>
      </c>
      <c r="F105" s="6" t="inlineStr">
        <is>
          <t>The Edit, Handover, Archive and Restore buttons do not show; changes through the address or the API are refused by the server.</t>
        </is>
      </c>
      <c r="G105" s="12" t="n"/>
      <c r="H105" s="6" t="n"/>
      <c r="I105" s="6" t="n"/>
      <c r="J105" s="13" t="n"/>
    </row>
    <row r="106">
      <c r="A106" s="11" t="inlineStr">
        <is>
          <t>UAT-ROL-03</t>
        </is>
      </c>
      <c r="B106" s="6" t="inlineStr">
        <is>
          <t>Role &amp; Permission</t>
        </is>
      </c>
      <c r="C106" s="6" t="inlineStr">
        <is>
          <t>SA</t>
        </is>
      </c>
      <c r="D106" s="6" t="inlineStr">
        <is>
          <t>View, change and delete a role</t>
        </is>
      </c>
      <c r="E106" s="6" t="inlineStr">
        <is>
          <t>1. Click View on the Super Admin role.
2. Change, then delete the test role.</t>
        </is>
      </c>
      <c r="F106" s="6" t="inlineStr">
        <is>
          <t>View shows the permissions without changing them; the test role can be changed and deleted; the Super Admin role has no delete button.</t>
        </is>
      </c>
      <c r="G106" s="12" t="n"/>
      <c r="H106" s="6" t="n"/>
      <c r="I106" s="6" t="n"/>
      <c r="J106" s="13" t="n"/>
    </row>
    <row r="107">
      <c r="A107" s="11" t="inlineStr">
        <is>
          <t>UAT-AUD-01</t>
        </is>
      </c>
      <c r="B107" s="6" t="inlineStr">
        <is>
          <t>Audit Log</t>
        </is>
      </c>
      <c r="C107" s="6" t="inlineStr">
        <is>
          <t>SA</t>
        </is>
      </c>
      <c r="D107" s="6" t="inlineStr">
        <is>
          <t>Sign-in records</t>
        </is>
      </c>
      <c r="E107" s="6" t="inlineStr">
        <is>
          <t>1. Open Audit Log, then filter Action on the Sign-in group.</t>
        </is>
      </c>
      <c r="F107" s="6" t="inlineStr">
        <is>
          <t>The successful and failed sign-ins (with the reason), sign-outs and expired sessions of the LOG scenarios are recorded with time, user and IP.</t>
        </is>
      </c>
      <c r="G107" s="12" t="n"/>
      <c r="H107" s="6" t="n"/>
      <c r="I107" s="6" t="n"/>
      <c r="J107" s="13" t="n"/>
    </row>
    <row r="108">
      <c r="A108" s="11" t="inlineStr">
        <is>
          <t>UAT-AUD-02</t>
        </is>
      </c>
      <c r="B108" s="6" t="inlineStr">
        <is>
          <t>Audit Log</t>
        </is>
      </c>
      <c r="C108" s="6" t="inlineStr">
        <is>
          <t>SA</t>
        </is>
      </c>
      <c r="D108" s="6" t="inlineStr">
        <is>
          <t>Data changes and Event details</t>
        </is>
      </c>
      <c r="E108" s="6" t="inlineStr">
        <is>
          <t>1. Filter Entity Radio and Date range Today.
2. Click the row of the radio change from UAT-REG-09.</t>
        </is>
      </c>
      <c r="F108" s="6" t="inlineStr">
        <is>
          <t>Event details shows the time to the second, user, action, entity, IP, Browser and the changes line by line (values before and after).</t>
        </is>
      </c>
      <c r="G108" s="12" t="n"/>
      <c r="H108" s="6" t="n"/>
      <c r="I108" s="6" t="n"/>
      <c r="J108" s="13" t="n"/>
    </row>
    <row r="109">
      <c r="A109" s="11" t="inlineStr">
        <is>
          <t>UAT-AUD-03</t>
        </is>
      </c>
      <c r="B109" s="6" t="inlineStr">
        <is>
          <t>Audit Log</t>
        </is>
      </c>
      <c r="C109" s="6" t="inlineStr">
        <is>
          <t>SA</t>
        </is>
      </c>
      <c r="D109" s="6" t="inlineStr">
        <is>
          <t>Filters, calendar and views</t>
        </is>
      </c>
      <c r="E109" s="6" t="inlineStr">
        <is>
          <t>1. Choose Date range → Custom range…, click the first and the last day, then Apply.
2. Copy the page address and open it in a new tab.
3. Switch between the Table and Log activity views.</t>
        </is>
      </c>
      <c r="F109" s="6" t="inlineStr">
        <is>
          <t>The list follows the date range; the copied address opens the same view with the same filters; Log activity shows a timeline of "who did what" sentences.</t>
        </is>
      </c>
      <c r="G109" s="12" t="n"/>
      <c r="H109" s="6" t="n"/>
      <c r="I109" s="6" t="n"/>
      <c r="J109" s="13" t="n"/>
    </row>
    <row r="110">
      <c r="A110" s="11" t="inlineStr">
        <is>
          <t>UAT-AUD-04</t>
        </is>
      </c>
      <c r="B110" s="6" t="inlineStr">
        <is>
          <t>Audit Log</t>
        </is>
      </c>
      <c r="C110" s="6" t="inlineStr">
        <is>
          <t>SA</t>
        </is>
      </c>
      <c r="D110" s="6" t="inlineStr">
        <is>
          <t>Audit records cannot be changed</t>
        </is>
      </c>
      <c r="E110" s="6" t="inlineStr">
        <is>
          <t>1. Check the Audit Log page and its event details.</t>
        </is>
      </c>
      <c r="F110" s="6" t="inlineStr">
        <is>
          <t>No button changes or deletes an audit record; passwords, tokens and signature pictures never show in it.</t>
        </is>
      </c>
      <c r="G110" s="12" t="n"/>
      <c r="H110" s="6" t="n"/>
      <c r="I110" s="6" t="n"/>
      <c r="J110" s="13" t="n"/>
    </row>
    <row r="111">
      <c r="A111" s="11" t="inlineStr">
        <is>
          <t>UAT-API-01</t>
        </is>
      </c>
      <c r="B111" s="6" t="inlineStr">
        <is>
          <t>API Tokens and the API</t>
        </is>
      </c>
      <c r="C111" s="6" t="inlineStr">
        <is>
          <t>SA</t>
        </is>
      </c>
      <c r="D111" s="6" t="inlineStr">
        <is>
          <t>Create a token</t>
        </is>
      </c>
      <c r="E111" s="6" t="inlineStr">
        <is>
          <t>1. Open API Tokens, click New token.
2. Choose Read only and a validity of 30 days, then create the token.</t>
        </is>
      </c>
      <c r="F111" s="6" t="inlineStr">
        <is>
          <t>The token is shown only once, with a curl example; once the dialog is closed the token cannot be seen again; the token shows in the list with its end date.</t>
        </is>
      </c>
      <c r="G111" s="12" t="n"/>
      <c r="H111" s="6" t="n"/>
      <c r="I111" s="6" t="n"/>
      <c r="J111" s="13" t="n"/>
    </row>
    <row r="112">
      <c r="A112" s="11" t="inlineStr">
        <is>
          <t>UAT-API-02</t>
        </is>
      </c>
      <c r="B112" s="6" t="inlineStr">
        <is>
          <t>API Tokens and the API</t>
        </is>
      </c>
      <c r="C112" s="6" t="inlineStr">
        <is>
          <t>SA</t>
        </is>
      </c>
      <c r="D112" s="6" t="inlineStr">
        <is>
          <t>Call the API with a token</t>
        </is>
      </c>
      <c r="E112" s="6" t="inlineStr">
        <is>
          <t>1. Call GET /api/v1/me with the header Authorization: Bearer &lt;token&gt;.
2. With the same Read only token, try POST /api/v1/radios.</t>
        </is>
      </c>
      <c r="F112" s="6" t="inlineStr">
        <is>
          <t>GET answers with the account of the token's owner; POST is refused (403) because the token may only read.</t>
        </is>
      </c>
      <c r="G112" s="12" t="n"/>
      <c r="H112" s="6" t="n"/>
      <c r="I112" s="6" t="n"/>
      <c r="J112" s="13" t="n"/>
    </row>
    <row r="113">
      <c r="A113" s="11" t="inlineStr">
        <is>
          <t>UAT-API-03</t>
        </is>
      </c>
      <c r="B113" s="6" t="inlineStr">
        <is>
          <t>API Tokens and the API</t>
        </is>
      </c>
      <c r="C113" s="6" t="inlineStr">
        <is>
          <t>SA</t>
        </is>
      </c>
      <c r="D113" s="6" t="inlineStr">
        <is>
          <t>Revoke a token</t>
        </is>
      </c>
      <c r="E113" s="6" t="inlineStr">
        <is>
          <t>1. Click Revoke on the token of UAT-API-01.
2. Call GET /api/v1/me again with that token.</t>
        </is>
      </c>
      <c r="F113" s="6" t="inlineStr">
        <is>
          <t>The token is recorded as revoked, and the call is answered 401.</t>
        </is>
      </c>
      <c r="G113" s="12" t="n"/>
      <c r="H113" s="6" t="n"/>
      <c r="I113" s="6" t="n"/>
      <c r="J113" s="13" t="n"/>
    </row>
    <row r="114">
      <c r="A114" s="11" t="inlineStr">
        <is>
          <t>UAT-API-04</t>
        </is>
      </c>
      <c r="B114" s="6" t="inlineStr">
        <is>
          <t>API Tokens and the API</t>
        </is>
      </c>
      <c r="C114" s="6" t="inlineStr">
        <is>
          <t>SA</t>
        </is>
      </c>
      <c r="D114" s="6" t="inlineStr">
        <is>
          <t>API client</t>
        </is>
      </c>
      <c r="E114" s="6" t="inlineStr">
        <is>
          <t>1. Click New client, give it a name and a role, then create a token for it.
2. Deactivate that client, then call the API with its token.</t>
        </is>
      </c>
      <c r="F114" s="6" t="inlineStr">
        <is>
          <t>The client is not listed in User Management; once deactivated, its token is refused (401).</t>
        </is>
      </c>
      <c r="G114" s="12" t="n"/>
      <c r="H114" s="6" t="n"/>
      <c r="I114" s="6" t="n"/>
      <c r="J114" s="13" t="n"/>
    </row>
    <row r="115">
      <c r="A115" s="11" t="inlineStr">
        <is>
          <t>UAT-API-05</t>
        </is>
      </c>
      <c r="B115" s="6" t="inlineStr">
        <is>
          <t>API Tokens and the API</t>
        </is>
      </c>
      <c r="C115" s="6" t="inlineStr">
        <is>
          <t>SA</t>
        </is>
      </c>
      <c r="D115" s="6" t="inlineStr">
        <is>
          <t>API documentation and health check</t>
        </is>
      </c>
      <c r="E115" s="6" t="inlineStr">
        <is>
          <t>1. Click API documentation.
2. Open GET /api/v1/health without a token, then /up.</t>
        </is>
      </c>
      <c r="F115" s="6" t="inlineStr">
        <is>
          <t>The documentation /docs/api opens (only for who may hold a token). Health answers the status ok with the checks web, database, storage and session; /up answers the status up.</t>
        </is>
      </c>
      <c r="G115" s="12" t="n"/>
      <c r="H115" s="6" t="n"/>
      <c r="I115" s="6" t="n"/>
      <c r="J115" s="13" t="n"/>
    </row>
    <row r="116">
      <c r="A116" s="11" t="inlineStr">
        <is>
          <t>UAT-PRM-01</t>
        </is>
      </c>
      <c r="B116" s="6" t="inlineStr">
        <is>
          <t>Access per role</t>
        </is>
      </c>
      <c r="C116" s="6" t="inlineStr">
        <is>
          <t>VR</t>
        </is>
      </c>
      <c r="D116" s="6" t="inlineStr">
        <is>
          <t>Viewer Radio access</t>
        </is>
      </c>
      <c r="E116" s="6" t="inlineStr">
        <is>
          <t>1. Sign in as a Viewer Radio and open every menu that shows.</t>
        </is>
      </c>
      <c r="F116" s="6" t="inlineStr">
        <is>
          <t>Only the Dashboard and the RADIO menus show (without E-Sign Master); no Add radio, Edit, Archive, Delete, New ticket, Start a session, Apply or Dismiss buttons; viewing, Export and Print the form still work.</t>
        </is>
      </c>
      <c r="G116" s="12" t="n"/>
      <c r="H116" s="6" t="n"/>
      <c r="I116" s="6" t="n"/>
      <c r="J116" s="13" t="n"/>
    </row>
    <row r="117">
      <c r="A117" s="11" t="inlineStr">
        <is>
          <t>UAT-PRM-02</t>
        </is>
      </c>
      <c r="B117" s="6" t="inlineStr">
        <is>
          <t>Access per role</t>
        </is>
      </c>
      <c r="C117" s="6" t="inlineStr">
        <is>
          <t>AR</t>
        </is>
      </c>
      <c r="D117" s="6" t="inlineStr">
        <is>
          <t>Admin Radio access</t>
        </is>
      </c>
      <c r="E117" s="6" t="inlineStr">
        <is>
          <t>1. Sign in as an Admin Radio and open every menu that shows.</t>
        </is>
      </c>
      <c r="F117" s="6" t="inlineStr">
        <is>
          <t>Full RADIO menus (without E-Sign Master), COF Scan view only, ICT Masterlist can ask for cell changes, Edit Approvals view only; the IT ASSETS, USER and SETTINGS sections do not show.</t>
        </is>
      </c>
      <c r="G117" s="12" t="n"/>
      <c r="H117" s="6" t="n"/>
      <c r="I117" s="6" t="n"/>
      <c r="J117" s="13" t="n"/>
    </row>
    <row r="118">
      <c r="A118" s="11" t="inlineStr">
        <is>
          <t>UAT-PRM-03</t>
        </is>
      </c>
      <c r="B118" s="6" t="inlineStr">
        <is>
          <t>Access per role</t>
        </is>
      </c>
      <c r="C118" s="6" t="inlineStr">
        <is>
          <t>DC</t>
        </is>
      </c>
      <c r="D118" s="6" t="inlineStr">
        <is>
          <t>Document Controller access</t>
        </is>
      </c>
      <c r="E118" s="6" t="inlineStr">
        <is>
          <t>1. Sign in as a Document Controller and open every menu that shows.</t>
        </is>
      </c>
      <c r="F118" s="6" t="inlineStr">
        <is>
          <t>Dashboard (view), COF Scan (view), ICT Masterlist with direct row edits, and Edit Approvals with Approve and Reject; the other radio menus, IT ASSETS, USER and SETTINGS do not show.</t>
        </is>
      </c>
      <c r="G118" s="12" t="n"/>
      <c r="H118" s="6" t="n"/>
      <c r="I118" s="6" t="n"/>
      <c r="J118" s="13" t="n"/>
    </row>
    <row r="119">
      <c r="A119" s="11" t="inlineStr">
        <is>
          <t>UAT-PRM-04</t>
        </is>
      </c>
      <c r="B119" s="6" t="inlineStr">
        <is>
          <t>Access per role</t>
        </is>
      </c>
      <c r="C119" s="6" t="inlineStr">
        <is>
          <t>SA</t>
        </is>
      </c>
      <c r="D119" s="6" t="inlineStr">
        <is>
          <t>Super Admin access</t>
        </is>
      </c>
      <c r="E119" s="6" t="inlineStr">
        <is>
          <t>1. Sign in as a Super Admin and open every menu.</t>
        </is>
      </c>
      <c r="F119" s="6" t="inlineStr">
        <is>
          <t>Every menu shows, including E-Sign Master, Snipe-IT, User Management, Audit Log and API Tokens.</t>
        </is>
      </c>
      <c r="G119" s="12" t="n"/>
      <c r="H119" s="6" t="n"/>
      <c r="I119" s="6" t="n"/>
      <c r="J119" s="13" t="n"/>
    </row>
  </sheetData>
  <autoFilter ref="A1:J119"/>
  <conditionalFormatting sqref="G2:G119">
    <cfRule type="cellIs" priority="1" operator="equal" dxfId="0">
      <formula>"Pass"</formula>
    </cfRule>
    <cfRule type="cellIs" priority="2" operator="equal" dxfId="1">
      <formula>"Fail"</formula>
    </cfRule>
    <cfRule type="cellIs" priority="3" operator="equal" dxfId="2">
      <formula>"N/A"</formula>
    </cfRule>
  </conditionalFormatting>
  <dataValidations count="2">
    <dataValidation sqref="G2:G119" showDropDown="0" showInputMessage="0" showErrorMessage="1" allowBlank="1" errorTitle="Status" error="Choose Pass, Fail or N/A." type="list">
      <formula1>"Pass,Fail,N/A"</formula1>
    </dataValidation>
    <dataValidation sqref="J2:J119" showDropDown="0" showInputMessage="0" showErrorMessage="0" allowBlank="1" type="date" operator="greaterThan">
      <formula1>DATE(2020,1,1)</formula1>
    </dataValidation>
  </dataValidations>
  <pageMargins left="0.4" right="0.4" top="0.5" bottom="0.5" header="0.5" footer="0.5"/>
  <pageSetup orientation="landscape" paperSize="9" fitToHeight="0" fitToWidth="1"/>
  <headerFooter>
    <oddHeader/>
    <oddFooter>&amp;LUAT Form MTI Radio Management · version 1.21.4&amp;RPage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5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60" customWidth="1" min="3" max="3"/>
    <col width="12" customWidth="1" min="4" max="4"/>
    <col width="24" customWidth="1" min="5" max="5"/>
    <col width="13" customWidth="1" min="6" max="6"/>
    <col width="18" customWidth="1" min="7" max="7"/>
    <col width="14" customWidth="1" min="8" max="8"/>
    <col width="14" customWidth="1" min="9" max="9"/>
  </cols>
  <sheetData>
    <row r="1">
      <c r="A1" s="10" t="inlineStr">
        <is>
          <t>No</t>
        </is>
      </c>
      <c r="B1" s="10" t="inlineStr">
        <is>
          <t>Scenario ID</t>
        </is>
      </c>
      <c r="C1" s="10" t="inlineStr">
        <is>
          <t>Description of the finding</t>
        </is>
      </c>
      <c r="D1" s="10" t="inlineStr">
        <is>
          <t>Severity</t>
        </is>
      </c>
      <c r="E1" s="10" t="inlineStr">
        <is>
          <t>Found by</t>
        </is>
      </c>
      <c r="F1" s="10" t="inlineStr">
        <is>
          <t>Date</t>
        </is>
      </c>
      <c r="G1" s="10" t="inlineStr">
        <is>
          <t>Fix (version)</t>
        </is>
      </c>
      <c r="H1" s="10" t="inlineStr">
        <is>
          <t>Status</t>
        </is>
      </c>
      <c r="I1" s="10" t="inlineStr">
        <is>
          <t>Retest</t>
        </is>
      </c>
    </row>
    <row r="2">
      <c r="A2" s="6" t="n">
        <v>1</v>
      </c>
      <c r="B2" s="6" t="n"/>
      <c r="C2" s="6" t="n"/>
      <c r="D2" s="6" t="n"/>
      <c r="E2" s="6" t="n"/>
      <c r="F2" s="13" t="n"/>
      <c r="G2" s="6" t="n"/>
      <c r="H2" s="6" t="n"/>
      <c r="I2" s="6" t="n"/>
    </row>
    <row r="3">
      <c r="A3" s="6" t="n">
        <v>2</v>
      </c>
      <c r="B3" s="6" t="n"/>
      <c r="C3" s="6" t="n"/>
      <c r="D3" s="6" t="n"/>
      <c r="E3" s="6" t="n"/>
      <c r="F3" s="13" t="n"/>
      <c r="G3" s="6" t="n"/>
      <c r="H3" s="6" t="n"/>
      <c r="I3" s="6" t="n"/>
    </row>
    <row r="4">
      <c r="A4" s="6" t="n">
        <v>3</v>
      </c>
      <c r="B4" s="6" t="n"/>
      <c r="C4" s="6" t="n"/>
      <c r="D4" s="6" t="n"/>
      <c r="E4" s="6" t="n"/>
      <c r="F4" s="13" t="n"/>
      <c r="G4" s="6" t="n"/>
      <c r="H4" s="6" t="n"/>
      <c r="I4" s="6" t="n"/>
    </row>
    <row r="5">
      <c r="A5" s="6" t="n">
        <v>4</v>
      </c>
      <c r="B5" s="6" t="n"/>
      <c r="C5" s="6" t="n"/>
      <c r="D5" s="6" t="n"/>
      <c r="E5" s="6" t="n"/>
      <c r="F5" s="13" t="n"/>
      <c r="G5" s="6" t="n"/>
      <c r="H5" s="6" t="n"/>
      <c r="I5" s="6" t="n"/>
    </row>
    <row r="6">
      <c r="A6" s="6" t="n">
        <v>5</v>
      </c>
      <c r="B6" s="6" t="n"/>
      <c r="C6" s="6" t="n"/>
      <c r="D6" s="6" t="n"/>
      <c r="E6" s="6" t="n"/>
      <c r="F6" s="13" t="n"/>
      <c r="G6" s="6" t="n"/>
      <c r="H6" s="6" t="n"/>
      <c r="I6" s="6" t="n"/>
    </row>
    <row r="7">
      <c r="A7" s="6" t="n">
        <v>6</v>
      </c>
      <c r="B7" s="6" t="n"/>
      <c r="C7" s="6" t="n"/>
      <c r="D7" s="6" t="n"/>
      <c r="E7" s="6" t="n"/>
      <c r="F7" s="13" t="n"/>
      <c r="G7" s="6" t="n"/>
      <c r="H7" s="6" t="n"/>
      <c r="I7" s="6" t="n"/>
    </row>
    <row r="8">
      <c r="A8" s="6" t="n">
        <v>7</v>
      </c>
      <c r="B8" s="6" t="n"/>
      <c r="C8" s="6" t="n"/>
      <c r="D8" s="6" t="n"/>
      <c r="E8" s="6" t="n"/>
      <c r="F8" s="13" t="n"/>
      <c r="G8" s="6" t="n"/>
      <c r="H8" s="6" t="n"/>
      <c r="I8" s="6" t="n"/>
    </row>
    <row r="9">
      <c r="A9" s="6" t="n">
        <v>8</v>
      </c>
      <c r="B9" s="6" t="n"/>
      <c r="C9" s="6" t="n"/>
      <c r="D9" s="6" t="n"/>
      <c r="E9" s="6" t="n"/>
      <c r="F9" s="13" t="n"/>
      <c r="G9" s="6" t="n"/>
      <c r="H9" s="6" t="n"/>
      <c r="I9" s="6" t="n"/>
    </row>
    <row r="10">
      <c r="A10" s="6" t="n">
        <v>9</v>
      </c>
      <c r="B10" s="6" t="n"/>
      <c r="C10" s="6" t="n"/>
      <c r="D10" s="6" t="n"/>
      <c r="E10" s="6" t="n"/>
      <c r="F10" s="13" t="n"/>
      <c r="G10" s="6" t="n"/>
      <c r="H10" s="6" t="n"/>
      <c r="I10" s="6" t="n"/>
    </row>
    <row r="11">
      <c r="A11" s="6" t="n">
        <v>10</v>
      </c>
      <c r="B11" s="6" t="n"/>
      <c r="C11" s="6" t="n"/>
      <c r="D11" s="6" t="n"/>
      <c r="E11" s="6" t="n"/>
      <c r="F11" s="13" t="n"/>
      <c r="G11" s="6" t="n"/>
      <c r="H11" s="6" t="n"/>
      <c r="I11" s="6" t="n"/>
    </row>
    <row r="12">
      <c r="A12" s="6" t="n">
        <v>11</v>
      </c>
      <c r="B12" s="6" t="n"/>
      <c r="C12" s="6" t="n"/>
      <c r="D12" s="6" t="n"/>
      <c r="E12" s="6" t="n"/>
      <c r="F12" s="13" t="n"/>
      <c r="G12" s="6" t="n"/>
      <c r="H12" s="6" t="n"/>
      <c r="I12" s="6" t="n"/>
    </row>
    <row r="13">
      <c r="A13" s="6" t="n">
        <v>12</v>
      </c>
      <c r="B13" s="6" t="n"/>
      <c r="C13" s="6" t="n"/>
      <c r="D13" s="6" t="n"/>
      <c r="E13" s="6" t="n"/>
      <c r="F13" s="13" t="n"/>
      <c r="G13" s="6" t="n"/>
      <c r="H13" s="6" t="n"/>
      <c r="I13" s="6" t="n"/>
    </row>
    <row r="14">
      <c r="A14" s="6" t="n">
        <v>13</v>
      </c>
      <c r="B14" s="6" t="n"/>
      <c r="C14" s="6" t="n"/>
      <c r="D14" s="6" t="n"/>
      <c r="E14" s="6" t="n"/>
      <c r="F14" s="13" t="n"/>
      <c r="G14" s="6" t="n"/>
      <c r="H14" s="6" t="n"/>
      <c r="I14" s="6" t="n"/>
    </row>
    <row r="15">
      <c r="A15" s="6" t="n">
        <v>14</v>
      </c>
      <c r="B15" s="6" t="n"/>
      <c r="C15" s="6" t="n"/>
      <c r="D15" s="6" t="n"/>
      <c r="E15" s="6" t="n"/>
      <c r="F15" s="13" t="n"/>
      <c r="G15" s="6" t="n"/>
      <c r="H15" s="6" t="n"/>
      <c r="I15" s="6" t="n"/>
    </row>
    <row r="16">
      <c r="A16" s="6" t="n">
        <v>15</v>
      </c>
      <c r="B16" s="6" t="n"/>
      <c r="C16" s="6" t="n"/>
      <c r="D16" s="6" t="n"/>
      <c r="E16" s="6" t="n"/>
      <c r="F16" s="13" t="n"/>
      <c r="G16" s="6" t="n"/>
      <c r="H16" s="6" t="n"/>
      <c r="I16" s="6" t="n"/>
    </row>
    <row r="17">
      <c r="A17" s="6" t="n">
        <v>16</v>
      </c>
      <c r="B17" s="6" t="n"/>
      <c r="C17" s="6" t="n"/>
      <c r="D17" s="6" t="n"/>
      <c r="E17" s="6" t="n"/>
      <c r="F17" s="13" t="n"/>
      <c r="G17" s="6" t="n"/>
      <c r="H17" s="6" t="n"/>
      <c r="I17" s="6" t="n"/>
    </row>
    <row r="18">
      <c r="A18" s="6" t="n">
        <v>17</v>
      </c>
      <c r="B18" s="6" t="n"/>
      <c r="C18" s="6" t="n"/>
      <c r="D18" s="6" t="n"/>
      <c r="E18" s="6" t="n"/>
      <c r="F18" s="13" t="n"/>
      <c r="G18" s="6" t="n"/>
      <c r="H18" s="6" t="n"/>
      <c r="I18" s="6" t="n"/>
    </row>
    <row r="19">
      <c r="A19" s="6" t="n">
        <v>18</v>
      </c>
      <c r="B19" s="6" t="n"/>
      <c r="C19" s="6" t="n"/>
      <c r="D19" s="6" t="n"/>
      <c r="E19" s="6" t="n"/>
      <c r="F19" s="13" t="n"/>
      <c r="G19" s="6" t="n"/>
      <c r="H19" s="6" t="n"/>
      <c r="I19" s="6" t="n"/>
    </row>
    <row r="20">
      <c r="A20" s="6" t="n">
        <v>19</v>
      </c>
      <c r="B20" s="6" t="n"/>
      <c r="C20" s="6" t="n"/>
      <c r="D20" s="6" t="n"/>
      <c r="E20" s="6" t="n"/>
      <c r="F20" s="13" t="n"/>
      <c r="G20" s="6" t="n"/>
      <c r="H20" s="6" t="n"/>
      <c r="I20" s="6" t="n"/>
    </row>
    <row r="21">
      <c r="A21" s="6" t="n">
        <v>20</v>
      </c>
      <c r="B21" s="6" t="n"/>
      <c r="C21" s="6" t="n"/>
      <c r="D21" s="6" t="n"/>
      <c r="E21" s="6" t="n"/>
      <c r="F21" s="13" t="n"/>
      <c r="G21" s="6" t="n"/>
      <c r="H21" s="6" t="n"/>
      <c r="I21" s="6" t="n"/>
    </row>
    <row r="22">
      <c r="A22" s="6" t="n">
        <v>21</v>
      </c>
      <c r="B22" s="6" t="n"/>
      <c r="C22" s="6" t="n"/>
      <c r="D22" s="6" t="n"/>
      <c r="E22" s="6" t="n"/>
      <c r="F22" s="13" t="n"/>
      <c r="G22" s="6" t="n"/>
      <c r="H22" s="6" t="n"/>
      <c r="I22" s="6" t="n"/>
    </row>
    <row r="23">
      <c r="A23" s="6" t="n">
        <v>22</v>
      </c>
      <c r="B23" s="6" t="n"/>
      <c r="C23" s="6" t="n"/>
      <c r="D23" s="6" t="n"/>
      <c r="E23" s="6" t="n"/>
      <c r="F23" s="13" t="n"/>
      <c r="G23" s="6" t="n"/>
      <c r="H23" s="6" t="n"/>
      <c r="I23" s="6" t="n"/>
    </row>
    <row r="24">
      <c r="A24" s="6" t="n">
        <v>23</v>
      </c>
      <c r="B24" s="6" t="n"/>
      <c r="C24" s="6" t="n"/>
      <c r="D24" s="6" t="n"/>
      <c r="E24" s="6" t="n"/>
      <c r="F24" s="13" t="n"/>
      <c r="G24" s="6" t="n"/>
      <c r="H24" s="6" t="n"/>
      <c r="I24" s="6" t="n"/>
    </row>
    <row r="25">
      <c r="A25" s="6" t="n">
        <v>24</v>
      </c>
      <c r="B25" s="6" t="n"/>
      <c r="C25" s="6" t="n"/>
      <c r="D25" s="6" t="n"/>
      <c r="E25" s="6" t="n"/>
      <c r="F25" s="13" t="n"/>
      <c r="G25" s="6" t="n"/>
      <c r="H25" s="6" t="n"/>
      <c r="I25" s="6" t="n"/>
    </row>
    <row r="26">
      <c r="A26" s="6" t="n">
        <v>25</v>
      </c>
      <c r="B26" s="6" t="n"/>
      <c r="C26" s="6" t="n"/>
      <c r="D26" s="6" t="n"/>
      <c r="E26" s="6" t="n"/>
      <c r="F26" s="13" t="n"/>
      <c r="G26" s="6" t="n"/>
      <c r="H26" s="6" t="n"/>
      <c r="I26" s="6" t="n"/>
    </row>
    <row r="27">
      <c r="A27" s="6" t="n">
        <v>26</v>
      </c>
      <c r="B27" s="6" t="n"/>
      <c r="C27" s="6" t="n"/>
      <c r="D27" s="6" t="n"/>
      <c r="E27" s="6" t="n"/>
      <c r="F27" s="13" t="n"/>
      <c r="G27" s="6" t="n"/>
      <c r="H27" s="6" t="n"/>
      <c r="I27" s="6" t="n"/>
    </row>
    <row r="28">
      <c r="A28" s="6" t="n">
        <v>27</v>
      </c>
      <c r="B28" s="6" t="n"/>
      <c r="C28" s="6" t="n"/>
      <c r="D28" s="6" t="n"/>
      <c r="E28" s="6" t="n"/>
      <c r="F28" s="13" t="n"/>
      <c r="G28" s="6" t="n"/>
      <c r="H28" s="6" t="n"/>
      <c r="I28" s="6" t="n"/>
    </row>
    <row r="29">
      <c r="A29" s="6" t="n">
        <v>28</v>
      </c>
      <c r="B29" s="6" t="n"/>
      <c r="C29" s="6" t="n"/>
      <c r="D29" s="6" t="n"/>
      <c r="E29" s="6" t="n"/>
      <c r="F29" s="13" t="n"/>
      <c r="G29" s="6" t="n"/>
      <c r="H29" s="6" t="n"/>
      <c r="I29" s="6" t="n"/>
    </row>
    <row r="30">
      <c r="A30" s="6" t="n">
        <v>29</v>
      </c>
      <c r="B30" s="6" t="n"/>
      <c r="C30" s="6" t="n"/>
      <c r="D30" s="6" t="n"/>
      <c r="E30" s="6" t="n"/>
      <c r="F30" s="13" t="n"/>
      <c r="G30" s="6" t="n"/>
      <c r="H30" s="6" t="n"/>
      <c r="I30" s="6" t="n"/>
    </row>
    <row r="31">
      <c r="A31" s="6" t="n">
        <v>30</v>
      </c>
      <c r="B31" s="6" t="n"/>
      <c r="C31" s="6" t="n"/>
      <c r="D31" s="6" t="n"/>
      <c r="E31" s="6" t="n"/>
      <c r="F31" s="13" t="n"/>
      <c r="G31" s="6" t="n"/>
      <c r="H31" s="6" t="n"/>
      <c r="I31" s="6" t="n"/>
    </row>
    <row r="32">
      <c r="A32" s="6" t="n">
        <v>31</v>
      </c>
      <c r="B32" s="6" t="n"/>
      <c r="C32" s="6" t="n"/>
      <c r="D32" s="6" t="n"/>
      <c r="E32" s="6" t="n"/>
      <c r="F32" s="13" t="n"/>
      <c r="G32" s="6" t="n"/>
      <c r="H32" s="6" t="n"/>
      <c r="I32" s="6" t="n"/>
    </row>
    <row r="33">
      <c r="A33" s="6" t="n">
        <v>32</v>
      </c>
      <c r="B33" s="6" t="n"/>
      <c r="C33" s="6" t="n"/>
      <c r="D33" s="6" t="n"/>
      <c r="E33" s="6" t="n"/>
      <c r="F33" s="13" t="n"/>
      <c r="G33" s="6" t="n"/>
      <c r="H33" s="6" t="n"/>
      <c r="I33" s="6" t="n"/>
    </row>
    <row r="34">
      <c r="A34" s="6" t="n">
        <v>33</v>
      </c>
      <c r="B34" s="6" t="n"/>
      <c r="C34" s="6" t="n"/>
      <c r="D34" s="6" t="n"/>
      <c r="E34" s="6" t="n"/>
      <c r="F34" s="13" t="n"/>
      <c r="G34" s="6" t="n"/>
      <c r="H34" s="6" t="n"/>
      <c r="I34" s="6" t="n"/>
    </row>
    <row r="35">
      <c r="A35" s="6" t="n">
        <v>34</v>
      </c>
      <c r="B35" s="6" t="n"/>
      <c r="C35" s="6" t="n"/>
      <c r="D35" s="6" t="n"/>
      <c r="E35" s="6" t="n"/>
      <c r="F35" s="13" t="n"/>
      <c r="G35" s="6" t="n"/>
      <c r="H35" s="6" t="n"/>
      <c r="I35" s="6" t="n"/>
    </row>
    <row r="36">
      <c r="A36" s="6" t="n">
        <v>35</v>
      </c>
      <c r="B36" s="6" t="n"/>
      <c r="C36" s="6" t="n"/>
      <c r="D36" s="6" t="n"/>
      <c r="E36" s="6" t="n"/>
      <c r="F36" s="13" t="n"/>
      <c r="G36" s="6" t="n"/>
      <c r="H36" s="6" t="n"/>
      <c r="I36" s="6" t="n"/>
    </row>
    <row r="37">
      <c r="A37" s="6" t="n">
        <v>36</v>
      </c>
      <c r="B37" s="6" t="n"/>
      <c r="C37" s="6" t="n"/>
      <c r="D37" s="6" t="n"/>
      <c r="E37" s="6" t="n"/>
      <c r="F37" s="13" t="n"/>
      <c r="G37" s="6" t="n"/>
      <c r="H37" s="6" t="n"/>
      <c r="I37" s="6" t="n"/>
    </row>
    <row r="38">
      <c r="A38" s="6" t="n">
        <v>37</v>
      </c>
      <c r="B38" s="6" t="n"/>
      <c r="C38" s="6" t="n"/>
      <c r="D38" s="6" t="n"/>
      <c r="E38" s="6" t="n"/>
      <c r="F38" s="13" t="n"/>
      <c r="G38" s="6" t="n"/>
      <c r="H38" s="6" t="n"/>
      <c r="I38" s="6" t="n"/>
    </row>
    <row r="39">
      <c r="A39" s="6" t="n">
        <v>38</v>
      </c>
      <c r="B39" s="6" t="n"/>
      <c r="C39" s="6" t="n"/>
      <c r="D39" s="6" t="n"/>
      <c r="E39" s="6" t="n"/>
      <c r="F39" s="13" t="n"/>
      <c r="G39" s="6" t="n"/>
      <c r="H39" s="6" t="n"/>
      <c r="I39" s="6" t="n"/>
    </row>
    <row r="40">
      <c r="A40" s="6" t="n">
        <v>39</v>
      </c>
      <c r="B40" s="6" t="n"/>
      <c r="C40" s="6" t="n"/>
      <c r="D40" s="6" t="n"/>
      <c r="E40" s="6" t="n"/>
      <c r="F40" s="13" t="n"/>
      <c r="G40" s="6" t="n"/>
      <c r="H40" s="6" t="n"/>
      <c r="I40" s="6" t="n"/>
    </row>
    <row r="41">
      <c r="A41" s="6" t="n">
        <v>40</v>
      </c>
      <c r="B41" s="6" t="n"/>
      <c r="C41" s="6" t="n"/>
      <c r="D41" s="6" t="n"/>
      <c r="E41" s="6" t="n"/>
      <c r="F41" s="13" t="n"/>
      <c r="G41" s="6" t="n"/>
      <c r="H41" s="6" t="n"/>
      <c r="I41" s="6" t="n"/>
    </row>
    <row r="42">
      <c r="A42" s="6" t="n">
        <v>41</v>
      </c>
      <c r="B42" s="6" t="n"/>
      <c r="C42" s="6" t="n"/>
      <c r="D42" s="6" t="n"/>
      <c r="E42" s="6" t="n"/>
      <c r="F42" s="13" t="n"/>
      <c r="G42" s="6" t="n"/>
      <c r="H42" s="6" t="n"/>
      <c r="I42" s="6" t="n"/>
    </row>
    <row r="43">
      <c r="A43" s="6" t="n">
        <v>42</v>
      </c>
      <c r="B43" s="6" t="n"/>
      <c r="C43" s="6" t="n"/>
      <c r="D43" s="6" t="n"/>
      <c r="E43" s="6" t="n"/>
      <c r="F43" s="13" t="n"/>
      <c r="G43" s="6" t="n"/>
      <c r="H43" s="6" t="n"/>
      <c r="I43" s="6" t="n"/>
    </row>
    <row r="44">
      <c r="A44" s="6" t="n">
        <v>43</v>
      </c>
      <c r="B44" s="6" t="n"/>
      <c r="C44" s="6" t="n"/>
      <c r="D44" s="6" t="n"/>
      <c r="E44" s="6" t="n"/>
      <c r="F44" s="13" t="n"/>
      <c r="G44" s="6" t="n"/>
      <c r="H44" s="6" t="n"/>
      <c r="I44" s="6" t="n"/>
    </row>
    <row r="45">
      <c r="A45" s="6" t="n">
        <v>44</v>
      </c>
      <c r="B45" s="6" t="n"/>
      <c r="C45" s="6" t="n"/>
      <c r="D45" s="6" t="n"/>
      <c r="E45" s="6" t="n"/>
      <c r="F45" s="13" t="n"/>
      <c r="G45" s="6" t="n"/>
      <c r="H45" s="6" t="n"/>
      <c r="I45" s="6" t="n"/>
    </row>
    <row r="46">
      <c r="A46" s="6" t="n">
        <v>45</v>
      </c>
      <c r="B46" s="6" t="n"/>
      <c r="C46" s="6" t="n"/>
      <c r="D46" s="6" t="n"/>
      <c r="E46" s="6" t="n"/>
      <c r="F46" s="13" t="n"/>
      <c r="G46" s="6" t="n"/>
      <c r="H46" s="6" t="n"/>
      <c r="I46" s="6" t="n"/>
    </row>
    <row r="47">
      <c r="A47" s="6" t="n">
        <v>46</v>
      </c>
      <c r="B47" s="6" t="n"/>
      <c r="C47" s="6" t="n"/>
      <c r="D47" s="6" t="n"/>
      <c r="E47" s="6" t="n"/>
      <c r="F47" s="13" t="n"/>
      <c r="G47" s="6" t="n"/>
      <c r="H47" s="6" t="n"/>
      <c r="I47" s="6" t="n"/>
    </row>
    <row r="48">
      <c r="A48" s="6" t="n">
        <v>47</v>
      </c>
      <c r="B48" s="6" t="n"/>
      <c r="C48" s="6" t="n"/>
      <c r="D48" s="6" t="n"/>
      <c r="E48" s="6" t="n"/>
      <c r="F48" s="13" t="n"/>
      <c r="G48" s="6" t="n"/>
      <c r="H48" s="6" t="n"/>
      <c r="I48" s="6" t="n"/>
    </row>
    <row r="49">
      <c r="A49" s="6" t="n">
        <v>48</v>
      </c>
      <c r="B49" s="6" t="n"/>
      <c r="C49" s="6" t="n"/>
      <c r="D49" s="6" t="n"/>
      <c r="E49" s="6" t="n"/>
      <c r="F49" s="13" t="n"/>
      <c r="G49" s="6" t="n"/>
      <c r="H49" s="6" t="n"/>
      <c r="I49" s="6" t="n"/>
    </row>
    <row r="50">
      <c r="A50" s="6" t="n">
        <v>49</v>
      </c>
      <c r="B50" s="6" t="n"/>
      <c r="C50" s="6" t="n"/>
      <c r="D50" s="6" t="n"/>
      <c r="E50" s="6" t="n"/>
      <c r="F50" s="13" t="n"/>
      <c r="G50" s="6" t="n"/>
      <c r="H50" s="6" t="n"/>
      <c r="I50" s="6" t="n"/>
    </row>
    <row r="51">
      <c r="A51" s="6" t="n">
        <v>50</v>
      </c>
      <c r="B51" s="6" t="n"/>
      <c r="C51" s="6" t="n"/>
      <c r="D51" s="6" t="n"/>
      <c r="E51" s="6" t="n"/>
      <c r="F51" s="13" t="n"/>
      <c r="G51" s="6" t="n"/>
      <c r="H51" s="6" t="n"/>
      <c r="I51" s="6" t="n"/>
    </row>
  </sheetData>
  <autoFilter ref="A1:I51"/>
  <dataValidations count="4">
    <dataValidation sqref="B2:B51" showDropDown="0" showInputMessage="0" showErrorMessage="0" allowBlank="1" type="list">
      <formula1>'Scenarios'!$A$2:$A$119</formula1>
    </dataValidation>
    <dataValidation sqref="D2:D51" showDropDown="0" showInputMessage="0" showErrorMessage="0" allowBlank="1" type="list">
      <formula1>"Critical,High,Medium,Low"</formula1>
    </dataValidation>
    <dataValidation sqref="H2:H51" showDropDown="0" showInputMessage="0" showErrorMessage="0" allowBlank="1" type="list">
      <formula1>"Open,Fixed,Closed"</formula1>
    </dataValidation>
    <dataValidation sqref="I2:I51" showDropDown="0" showInputMessage="0" showErrorMessage="0" allowBlank="1" type="list">
      <formula1>"Pass,Fail"</formula1>
    </dataValidation>
  </dataValidations>
  <pageMargins left="0.4" right="0.4" top="0.5" bottom="0.5" header="0.5" footer="0.5"/>
  <pageSetup orientation="landscape" paperSize="9" fitToHeight="0" fitToWidth="1"/>
  <headerFooter>
    <oddHeader/>
    <oddFooter>&amp;LUAT Form MTI Radio Management · version 1.21.4&amp;RPage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0"/>
  <sheetViews>
    <sheetView workbookViewId="0">
      <pane ySplit="3" topLeftCell="A4" activePane="bottomLeft" state="frozen"/>
      <selection pane="bottomLeft" activeCell="A1" sqref="A1"/>
    </sheetView>
  </sheetViews>
  <sheetFormatPr baseColWidth="8" defaultRowHeight="15"/>
  <cols>
    <col width="6" customWidth="1" min="1" max="1"/>
    <col width="44" customWidth="1" min="2" max="2"/>
    <col width="13" customWidth="1" min="3" max="3"/>
    <col width="11" customWidth="1" min="4" max="4"/>
    <col width="11" customWidth="1" min="5" max="5"/>
    <col width="11" customWidth="1" min="6" max="6"/>
    <col width="14" customWidth="1" min="7" max="7"/>
    <col width="14" customWidth="1" min="8" max="8"/>
    <col width="40" customWidth="1" min="9" max="9"/>
  </cols>
  <sheetData>
    <row r="1">
      <c r="A1" s="1" t="inlineStr">
        <is>
          <t>Results summary</t>
        </is>
      </c>
    </row>
    <row r="3">
      <c r="A3" s="10" t="inlineStr">
        <is>
          <t>No</t>
        </is>
      </c>
      <c r="B3" s="10" t="inlineStr">
        <is>
          <t>Section</t>
        </is>
      </c>
      <c r="C3" s="10" t="inlineStr">
        <is>
          <t>Scenarios</t>
        </is>
      </c>
      <c r="D3" s="10" t="inlineStr">
        <is>
          <t>Pass</t>
        </is>
      </c>
      <c r="E3" s="10" t="inlineStr">
        <is>
          <t>Fail</t>
        </is>
      </c>
      <c r="F3" s="10" t="inlineStr">
        <is>
          <t>N/A</t>
        </is>
      </c>
      <c r="G3" s="10" t="inlineStr">
        <is>
          <t>Not filled in</t>
        </is>
      </c>
      <c r="H3" s="10" t="inlineStr">
        <is>
          <t>% Pass</t>
        </is>
      </c>
      <c r="I3" s="10" t="inlineStr">
        <is>
          <t>Notes</t>
        </is>
      </c>
    </row>
    <row r="4">
      <c r="A4" s="9" t="n">
        <v>1</v>
      </c>
      <c r="B4" s="9" t="inlineStr">
        <is>
          <t>Sign-in and sign-out</t>
        </is>
      </c>
      <c r="C4" s="9">
        <f>COUNTIF('Scenarios'!$B$2:$B$119,B4)</f>
        <v/>
      </c>
      <c r="D4" s="9">
        <f>COUNTIFS('Scenarios'!$B$2:$B$119,B4,'Scenarios'!$G$2:$G$119,"Pass")</f>
        <v/>
      </c>
      <c r="E4" s="9">
        <f>COUNTIFS('Scenarios'!$B$2:$B$119,B4,'Scenarios'!$G$2:$G$119,"Fail")</f>
        <v/>
      </c>
      <c r="F4" s="9">
        <f>COUNTIFS('Scenarios'!$B$2:$B$119,B4,'Scenarios'!$G$2:$G$119,"N/A")</f>
        <v/>
      </c>
      <c r="G4" s="9">
        <f>C4-D4-E4-F4</f>
        <v/>
      </c>
      <c r="H4" s="14">
        <f>IF(D4+E4=0,"",D4/(C4-F4))</f>
        <v/>
      </c>
      <c r="I4" s="9" t="n"/>
    </row>
    <row r="5">
      <c r="A5" s="9" t="n">
        <v>2</v>
      </c>
      <c r="B5" s="9" t="inlineStr">
        <is>
          <t>Layout, language and Version history</t>
        </is>
      </c>
      <c r="C5" s="9">
        <f>COUNTIF('Scenarios'!$B$2:$B$119,B5)</f>
        <v/>
      </c>
      <c r="D5" s="9">
        <f>COUNTIFS('Scenarios'!$B$2:$B$119,B5,'Scenarios'!$G$2:$G$119,"Pass")</f>
        <v/>
      </c>
      <c r="E5" s="9">
        <f>COUNTIFS('Scenarios'!$B$2:$B$119,B5,'Scenarios'!$G$2:$G$119,"Fail")</f>
        <v/>
      </c>
      <c r="F5" s="9">
        <f>COUNTIFS('Scenarios'!$B$2:$B$119,B5,'Scenarios'!$G$2:$G$119,"N/A")</f>
        <v/>
      </c>
      <c r="G5" s="9">
        <f>C5-D5-E5-F5</f>
        <v/>
      </c>
      <c r="H5" s="14">
        <f>IF(D5+E5=0,"",D5/(C5-F5))</f>
        <v/>
      </c>
      <c r="I5" s="9" t="n"/>
    </row>
    <row r="6">
      <c r="A6" s="9" t="n">
        <v>3</v>
      </c>
      <c r="B6" s="9" t="inlineStr">
        <is>
          <t>Notifications</t>
        </is>
      </c>
      <c r="C6" s="9">
        <f>COUNTIF('Scenarios'!$B$2:$B$119,B6)</f>
        <v/>
      </c>
      <c r="D6" s="9">
        <f>COUNTIFS('Scenarios'!$B$2:$B$119,B6,'Scenarios'!$G$2:$G$119,"Pass")</f>
        <v/>
      </c>
      <c r="E6" s="9">
        <f>COUNTIFS('Scenarios'!$B$2:$B$119,B6,'Scenarios'!$G$2:$G$119,"Fail")</f>
        <v/>
      </c>
      <c r="F6" s="9">
        <f>COUNTIFS('Scenarios'!$B$2:$B$119,B6,'Scenarios'!$G$2:$G$119,"N/A")</f>
        <v/>
      </c>
      <c r="G6" s="9">
        <f>C6-D6-E6-F6</f>
        <v/>
      </c>
      <c r="H6" s="14">
        <f>IF(D6+E6=0,"",D6/(C6-F6))</f>
        <v/>
      </c>
      <c r="I6" s="9" t="n"/>
    </row>
    <row r="7">
      <c r="A7" s="9" t="n">
        <v>4</v>
      </c>
      <c r="B7" s="9" t="inlineStr">
        <is>
          <t>Dashboard</t>
        </is>
      </c>
      <c r="C7" s="9">
        <f>COUNTIF('Scenarios'!$B$2:$B$119,B7)</f>
        <v/>
      </c>
      <c r="D7" s="9">
        <f>COUNTIFS('Scenarios'!$B$2:$B$119,B7,'Scenarios'!$G$2:$G$119,"Pass")</f>
        <v/>
      </c>
      <c r="E7" s="9">
        <f>COUNTIFS('Scenarios'!$B$2:$B$119,B7,'Scenarios'!$G$2:$G$119,"Fail")</f>
        <v/>
      </c>
      <c r="F7" s="9">
        <f>COUNTIFS('Scenarios'!$B$2:$B$119,B7,'Scenarios'!$G$2:$G$119,"N/A")</f>
        <v/>
      </c>
      <c r="G7" s="9">
        <f>C7-D7-E7-F7</f>
        <v/>
      </c>
      <c r="H7" s="14">
        <f>IF(D7+E7=0,"",D7/(C7-F7))</f>
        <v/>
      </c>
      <c r="I7" s="9" t="n"/>
    </row>
    <row r="8">
      <c r="A8" s="9" t="n">
        <v>5</v>
      </c>
      <c r="B8" s="9" t="inlineStr">
        <is>
          <t>Register Radio</t>
        </is>
      </c>
      <c r="C8" s="9">
        <f>COUNTIF('Scenarios'!$B$2:$B$119,B8)</f>
        <v/>
      </c>
      <c r="D8" s="9">
        <f>COUNTIFS('Scenarios'!$B$2:$B$119,B8,'Scenarios'!$G$2:$G$119,"Pass")</f>
        <v/>
      </c>
      <c r="E8" s="9">
        <f>COUNTIFS('Scenarios'!$B$2:$B$119,B8,'Scenarios'!$G$2:$G$119,"Fail")</f>
        <v/>
      </c>
      <c r="F8" s="9">
        <f>COUNTIFS('Scenarios'!$B$2:$B$119,B8,'Scenarios'!$G$2:$G$119,"N/A")</f>
        <v/>
      </c>
      <c r="G8" s="9">
        <f>C8-D8-E8-F8</f>
        <v/>
      </c>
      <c r="H8" s="14">
        <f>IF(D8+E8=0,"",D8/(C8-F8))</f>
        <v/>
      </c>
      <c r="I8" s="9" t="n"/>
    </row>
    <row r="9">
      <c r="A9" s="9" t="n">
        <v>6</v>
      </c>
      <c r="B9" s="9" t="inlineStr">
        <is>
          <t>Radio details, handover and print form</t>
        </is>
      </c>
      <c r="C9" s="9">
        <f>COUNTIF('Scenarios'!$B$2:$B$119,B9)</f>
        <v/>
      </c>
      <c r="D9" s="9">
        <f>COUNTIFS('Scenarios'!$B$2:$B$119,B9,'Scenarios'!$G$2:$G$119,"Pass")</f>
        <v/>
      </c>
      <c r="E9" s="9">
        <f>COUNTIFS('Scenarios'!$B$2:$B$119,B9,'Scenarios'!$G$2:$G$119,"Fail")</f>
        <v/>
      </c>
      <c r="F9" s="9">
        <f>COUNTIFS('Scenarios'!$B$2:$B$119,B9,'Scenarios'!$G$2:$G$119,"N/A")</f>
        <v/>
      </c>
      <c r="G9" s="9">
        <f>C9-D9-E9-F9</f>
        <v/>
      </c>
      <c r="H9" s="14">
        <f>IF(D9+E9=0,"",D9/(C9-F9))</f>
        <v/>
      </c>
      <c r="I9" s="9" t="n"/>
    </row>
    <row r="10">
      <c r="A10" s="9" t="n">
        <v>7</v>
      </c>
      <c r="B10" s="9" t="inlineStr">
        <is>
          <t>Needs Attention</t>
        </is>
      </c>
      <c r="C10" s="9">
        <f>COUNTIF('Scenarios'!$B$2:$B$119,B10)</f>
        <v/>
      </c>
      <c r="D10" s="9">
        <f>COUNTIFS('Scenarios'!$B$2:$B$119,B10,'Scenarios'!$G$2:$G$119,"Pass")</f>
        <v/>
      </c>
      <c r="E10" s="9">
        <f>COUNTIFS('Scenarios'!$B$2:$B$119,B10,'Scenarios'!$G$2:$G$119,"Fail")</f>
        <v/>
      </c>
      <c r="F10" s="9">
        <f>COUNTIFS('Scenarios'!$B$2:$B$119,B10,'Scenarios'!$G$2:$G$119,"N/A")</f>
        <v/>
      </c>
      <c r="G10" s="9">
        <f>C10-D10-E10-F10</f>
        <v/>
      </c>
      <c r="H10" s="14">
        <f>IF(D10+E10=0,"",D10/(C10-F10))</f>
        <v/>
      </c>
      <c r="I10" s="9" t="n"/>
    </row>
    <row r="11">
      <c r="A11" s="9" t="n">
        <v>8</v>
      </c>
      <c r="B11" s="9" t="inlineStr">
        <is>
          <t>Service &amp; Repair</t>
        </is>
      </c>
      <c r="C11" s="9">
        <f>COUNTIF('Scenarios'!$B$2:$B$119,B11)</f>
        <v/>
      </c>
      <c r="D11" s="9">
        <f>COUNTIFS('Scenarios'!$B$2:$B$119,B11,'Scenarios'!$G$2:$G$119,"Pass")</f>
        <v/>
      </c>
      <c r="E11" s="9">
        <f>COUNTIFS('Scenarios'!$B$2:$B$119,B11,'Scenarios'!$G$2:$G$119,"Fail")</f>
        <v/>
      </c>
      <c r="F11" s="9">
        <f>COUNTIFS('Scenarios'!$B$2:$B$119,B11,'Scenarios'!$G$2:$G$119,"N/A")</f>
        <v/>
      </c>
      <c r="G11" s="9">
        <f>C11-D11-E11-F11</f>
        <v/>
      </c>
      <c r="H11" s="14">
        <f>IF(D11+E11=0,"",D11/(C11-F11))</f>
        <v/>
      </c>
      <c r="I11" s="9" t="n"/>
    </row>
    <row r="12">
      <c r="A12" s="9" t="n">
        <v>9</v>
      </c>
      <c r="B12" s="9" t="inlineStr">
        <is>
          <t>Stock Opname</t>
        </is>
      </c>
      <c r="C12" s="9">
        <f>COUNTIF('Scenarios'!$B$2:$B$119,B12)</f>
        <v/>
      </c>
      <c r="D12" s="9">
        <f>COUNTIFS('Scenarios'!$B$2:$B$119,B12,'Scenarios'!$G$2:$G$119,"Pass")</f>
        <v/>
      </c>
      <c r="E12" s="9">
        <f>COUNTIFS('Scenarios'!$B$2:$B$119,B12,'Scenarios'!$G$2:$G$119,"Fail")</f>
        <v/>
      </c>
      <c r="F12" s="9">
        <f>COUNTIFS('Scenarios'!$B$2:$B$119,B12,'Scenarios'!$G$2:$G$119,"N/A")</f>
        <v/>
      </c>
      <c r="G12" s="9">
        <f>C12-D12-E12-F12</f>
        <v/>
      </c>
      <c r="H12" s="14">
        <f>IF(D12+E12=0,"",D12/(C12-F12))</f>
        <v/>
      </c>
      <c r="I12" s="9" t="n"/>
    </row>
    <row r="13">
      <c r="A13" s="9" t="n">
        <v>10</v>
      </c>
      <c r="B13" s="9" t="inlineStr">
        <is>
          <t>Radio History</t>
        </is>
      </c>
      <c r="C13" s="9">
        <f>COUNTIF('Scenarios'!$B$2:$B$119,B13)</f>
        <v/>
      </c>
      <c r="D13" s="9">
        <f>COUNTIFS('Scenarios'!$B$2:$B$119,B13,'Scenarios'!$G$2:$G$119,"Pass")</f>
        <v/>
      </c>
      <c r="E13" s="9">
        <f>COUNTIFS('Scenarios'!$B$2:$B$119,B13,'Scenarios'!$G$2:$G$119,"Fail")</f>
        <v/>
      </c>
      <c r="F13" s="9">
        <f>COUNTIFS('Scenarios'!$B$2:$B$119,B13,'Scenarios'!$G$2:$G$119,"N/A")</f>
        <v/>
      </c>
      <c r="G13" s="9">
        <f>C13-D13-E13-F13</f>
        <v/>
      </c>
      <c r="H13" s="14">
        <f>IF(D13+E13=0,"",D13/(C13-F13))</f>
        <v/>
      </c>
      <c r="I13" s="9" t="n"/>
    </row>
    <row r="14">
      <c r="A14" s="9" t="n">
        <v>11</v>
      </c>
      <c r="B14" s="9" t="inlineStr">
        <is>
          <t>Radio Master Data</t>
        </is>
      </c>
      <c r="C14" s="9">
        <f>COUNTIF('Scenarios'!$B$2:$B$119,B14)</f>
        <v/>
      </c>
      <c r="D14" s="9">
        <f>COUNTIFS('Scenarios'!$B$2:$B$119,B14,'Scenarios'!$G$2:$G$119,"Pass")</f>
        <v/>
      </c>
      <c r="E14" s="9">
        <f>COUNTIFS('Scenarios'!$B$2:$B$119,B14,'Scenarios'!$G$2:$G$119,"Fail")</f>
        <v/>
      </c>
      <c r="F14" s="9">
        <f>COUNTIFS('Scenarios'!$B$2:$B$119,B14,'Scenarios'!$G$2:$G$119,"N/A")</f>
        <v/>
      </c>
      <c r="G14" s="9">
        <f>C14-D14-E14-F14</f>
        <v/>
      </c>
      <c r="H14" s="14">
        <f>IF(D14+E14=0,"",D14/(C14-F14))</f>
        <v/>
      </c>
      <c r="I14" s="9" t="n"/>
    </row>
    <row r="15">
      <c r="A15" s="9" t="n">
        <v>12</v>
      </c>
      <c r="B15" s="9" t="inlineStr">
        <is>
          <t>E-Sign Master</t>
        </is>
      </c>
      <c r="C15" s="9">
        <f>COUNTIF('Scenarios'!$B$2:$B$119,B15)</f>
        <v/>
      </c>
      <c r="D15" s="9">
        <f>COUNTIFS('Scenarios'!$B$2:$B$119,B15,'Scenarios'!$G$2:$G$119,"Pass")</f>
        <v/>
      </c>
      <c r="E15" s="9">
        <f>COUNTIFS('Scenarios'!$B$2:$B$119,B15,'Scenarios'!$G$2:$G$119,"Fail")</f>
        <v/>
      </c>
      <c r="F15" s="9">
        <f>COUNTIFS('Scenarios'!$B$2:$B$119,B15,'Scenarios'!$G$2:$G$119,"N/A")</f>
        <v/>
      </c>
      <c r="G15" s="9">
        <f>C15-D15-E15-F15</f>
        <v/>
      </c>
      <c r="H15" s="14">
        <f>IF(D15+E15=0,"",D15/(C15-F15))</f>
        <v/>
      </c>
      <c r="I15" s="9" t="n"/>
    </row>
    <row r="16">
      <c r="A16" s="9" t="n">
        <v>13</v>
      </c>
      <c r="B16" s="9" t="inlineStr">
        <is>
          <t>Import Excel</t>
        </is>
      </c>
      <c r="C16" s="9">
        <f>COUNTIF('Scenarios'!$B$2:$B$119,B16)</f>
        <v/>
      </c>
      <c r="D16" s="9">
        <f>COUNTIFS('Scenarios'!$B$2:$B$119,B16,'Scenarios'!$G$2:$G$119,"Pass")</f>
        <v/>
      </c>
      <c r="E16" s="9">
        <f>COUNTIFS('Scenarios'!$B$2:$B$119,B16,'Scenarios'!$G$2:$G$119,"Fail")</f>
        <v/>
      </c>
      <c r="F16" s="9">
        <f>COUNTIFS('Scenarios'!$B$2:$B$119,B16,'Scenarios'!$G$2:$G$119,"N/A")</f>
        <v/>
      </c>
      <c r="G16" s="9">
        <f>C16-D16-E16-F16</f>
        <v/>
      </c>
      <c r="H16" s="14">
        <f>IF(D16+E16=0,"",D16/(C16-F16))</f>
        <v/>
      </c>
      <c r="I16" s="9" t="n"/>
    </row>
    <row r="17">
      <c r="A17" s="9" t="n">
        <v>14</v>
      </c>
      <c r="B17" s="9" t="inlineStr">
        <is>
          <t>COF Scan</t>
        </is>
      </c>
      <c r="C17" s="9">
        <f>COUNTIF('Scenarios'!$B$2:$B$119,B17)</f>
        <v/>
      </c>
      <c r="D17" s="9">
        <f>COUNTIFS('Scenarios'!$B$2:$B$119,B17,'Scenarios'!$G$2:$G$119,"Pass")</f>
        <v/>
      </c>
      <c r="E17" s="9">
        <f>COUNTIFS('Scenarios'!$B$2:$B$119,B17,'Scenarios'!$G$2:$G$119,"Fail")</f>
        <v/>
      </c>
      <c r="F17" s="9">
        <f>COUNTIFS('Scenarios'!$B$2:$B$119,B17,'Scenarios'!$G$2:$G$119,"N/A")</f>
        <v/>
      </c>
      <c r="G17" s="9">
        <f>C17-D17-E17-F17</f>
        <v/>
      </c>
      <c r="H17" s="14">
        <f>IF(D17+E17=0,"",D17/(C17-F17))</f>
        <v/>
      </c>
      <c r="I17" s="9" t="n"/>
    </row>
    <row r="18">
      <c r="A18" s="9" t="n">
        <v>15</v>
      </c>
      <c r="B18" s="9" t="inlineStr">
        <is>
          <t>ICT Masterlist and Edit Approvals</t>
        </is>
      </c>
      <c r="C18" s="9">
        <f>COUNTIF('Scenarios'!$B$2:$B$119,B18)</f>
        <v/>
      </c>
      <c r="D18" s="9">
        <f>COUNTIFS('Scenarios'!$B$2:$B$119,B18,'Scenarios'!$G$2:$G$119,"Pass")</f>
        <v/>
      </c>
      <c r="E18" s="9">
        <f>COUNTIFS('Scenarios'!$B$2:$B$119,B18,'Scenarios'!$G$2:$G$119,"Fail")</f>
        <v/>
      </c>
      <c r="F18" s="9">
        <f>COUNTIFS('Scenarios'!$B$2:$B$119,B18,'Scenarios'!$G$2:$G$119,"N/A")</f>
        <v/>
      </c>
      <c r="G18" s="9">
        <f>C18-D18-E18-F18</f>
        <v/>
      </c>
      <c r="H18" s="14">
        <f>IF(D18+E18=0,"",D18/(C18-F18))</f>
        <v/>
      </c>
      <c r="I18" s="9" t="n"/>
    </row>
    <row r="19">
      <c r="A19" s="9" t="n">
        <v>16</v>
      </c>
      <c r="B19" s="9" t="inlineStr">
        <is>
          <t>Snipe-IT</t>
        </is>
      </c>
      <c r="C19" s="9">
        <f>COUNTIF('Scenarios'!$B$2:$B$119,B19)</f>
        <v/>
      </c>
      <c r="D19" s="9">
        <f>COUNTIFS('Scenarios'!$B$2:$B$119,B19,'Scenarios'!$G$2:$G$119,"Pass")</f>
        <v/>
      </c>
      <c r="E19" s="9">
        <f>COUNTIFS('Scenarios'!$B$2:$B$119,B19,'Scenarios'!$G$2:$G$119,"Fail")</f>
        <v/>
      </c>
      <c r="F19" s="9">
        <f>COUNTIFS('Scenarios'!$B$2:$B$119,B19,'Scenarios'!$G$2:$G$119,"N/A")</f>
        <v/>
      </c>
      <c r="G19" s="9">
        <f>C19-D19-E19-F19</f>
        <v/>
      </c>
      <c r="H19" s="14">
        <f>IF(D19+E19=0,"",D19/(C19-F19))</f>
        <v/>
      </c>
      <c r="I19" s="9" t="n"/>
    </row>
    <row r="20">
      <c r="A20" s="9" t="n">
        <v>17</v>
      </c>
      <c r="B20" s="9" t="inlineStr">
        <is>
          <t>Registered Users</t>
        </is>
      </c>
      <c r="C20" s="9">
        <f>COUNTIF('Scenarios'!$B$2:$B$119,B20)</f>
        <v/>
      </c>
      <c r="D20" s="9">
        <f>COUNTIFS('Scenarios'!$B$2:$B$119,B20,'Scenarios'!$G$2:$G$119,"Pass")</f>
        <v/>
      </c>
      <c r="E20" s="9">
        <f>COUNTIFS('Scenarios'!$B$2:$B$119,B20,'Scenarios'!$G$2:$G$119,"Fail")</f>
        <v/>
      </c>
      <c r="F20" s="9">
        <f>COUNTIFS('Scenarios'!$B$2:$B$119,B20,'Scenarios'!$G$2:$G$119,"N/A")</f>
        <v/>
      </c>
      <c r="G20" s="9">
        <f>C20-D20-E20-F20</f>
        <v/>
      </c>
      <c r="H20" s="14">
        <f>IF(D20+E20=0,"",D20/(C20-F20))</f>
        <v/>
      </c>
      <c r="I20" s="9" t="n"/>
    </row>
    <row r="21">
      <c r="A21" s="9" t="n">
        <v>18</v>
      </c>
      <c r="B21" s="9" t="inlineStr">
        <is>
          <t>Role &amp; Permission</t>
        </is>
      </c>
      <c r="C21" s="9">
        <f>COUNTIF('Scenarios'!$B$2:$B$119,B21)</f>
        <v/>
      </c>
      <c r="D21" s="9">
        <f>COUNTIFS('Scenarios'!$B$2:$B$119,B21,'Scenarios'!$G$2:$G$119,"Pass")</f>
        <v/>
      </c>
      <c r="E21" s="9">
        <f>COUNTIFS('Scenarios'!$B$2:$B$119,B21,'Scenarios'!$G$2:$G$119,"Fail")</f>
        <v/>
      </c>
      <c r="F21" s="9">
        <f>COUNTIFS('Scenarios'!$B$2:$B$119,B21,'Scenarios'!$G$2:$G$119,"N/A")</f>
        <v/>
      </c>
      <c r="G21" s="9">
        <f>C21-D21-E21-F21</f>
        <v/>
      </c>
      <c r="H21" s="14">
        <f>IF(D21+E21=0,"",D21/(C21-F21))</f>
        <v/>
      </c>
      <c r="I21" s="9" t="n"/>
    </row>
    <row r="22">
      <c r="A22" s="9" t="n">
        <v>19</v>
      </c>
      <c r="B22" s="9" t="inlineStr">
        <is>
          <t>Audit Log</t>
        </is>
      </c>
      <c r="C22" s="9">
        <f>COUNTIF('Scenarios'!$B$2:$B$119,B22)</f>
        <v/>
      </c>
      <c r="D22" s="9">
        <f>COUNTIFS('Scenarios'!$B$2:$B$119,B22,'Scenarios'!$G$2:$G$119,"Pass")</f>
        <v/>
      </c>
      <c r="E22" s="9">
        <f>COUNTIFS('Scenarios'!$B$2:$B$119,B22,'Scenarios'!$G$2:$G$119,"Fail")</f>
        <v/>
      </c>
      <c r="F22" s="9">
        <f>COUNTIFS('Scenarios'!$B$2:$B$119,B22,'Scenarios'!$G$2:$G$119,"N/A")</f>
        <v/>
      </c>
      <c r="G22" s="9">
        <f>C22-D22-E22-F22</f>
        <v/>
      </c>
      <c r="H22" s="14">
        <f>IF(D22+E22=0,"",D22/(C22-F22))</f>
        <v/>
      </c>
      <c r="I22" s="9" t="n"/>
    </row>
    <row r="23">
      <c r="A23" s="9" t="n">
        <v>20</v>
      </c>
      <c r="B23" s="9" t="inlineStr">
        <is>
          <t>API Tokens and the API</t>
        </is>
      </c>
      <c r="C23" s="9">
        <f>COUNTIF('Scenarios'!$B$2:$B$119,B23)</f>
        <v/>
      </c>
      <c r="D23" s="9">
        <f>COUNTIFS('Scenarios'!$B$2:$B$119,B23,'Scenarios'!$G$2:$G$119,"Pass")</f>
        <v/>
      </c>
      <c r="E23" s="9">
        <f>COUNTIFS('Scenarios'!$B$2:$B$119,B23,'Scenarios'!$G$2:$G$119,"Fail")</f>
        <v/>
      </c>
      <c r="F23" s="9">
        <f>COUNTIFS('Scenarios'!$B$2:$B$119,B23,'Scenarios'!$G$2:$G$119,"N/A")</f>
        <v/>
      </c>
      <c r="G23" s="9">
        <f>C23-D23-E23-F23</f>
        <v/>
      </c>
      <c r="H23" s="14">
        <f>IF(D23+E23=0,"",D23/(C23-F23))</f>
        <v/>
      </c>
      <c r="I23" s="9" t="n"/>
    </row>
    <row r="24">
      <c r="A24" s="9" t="n">
        <v>21</v>
      </c>
      <c r="B24" s="9" t="inlineStr">
        <is>
          <t>Access per role</t>
        </is>
      </c>
      <c r="C24" s="9">
        <f>COUNTIF('Scenarios'!$B$2:$B$119,B24)</f>
        <v/>
      </c>
      <c r="D24" s="9">
        <f>COUNTIFS('Scenarios'!$B$2:$B$119,B24,'Scenarios'!$G$2:$G$119,"Pass")</f>
        <v/>
      </c>
      <c r="E24" s="9">
        <f>COUNTIFS('Scenarios'!$B$2:$B$119,B24,'Scenarios'!$G$2:$G$119,"Fail")</f>
        <v/>
      </c>
      <c r="F24" s="9">
        <f>COUNTIFS('Scenarios'!$B$2:$B$119,B24,'Scenarios'!$G$2:$G$119,"N/A")</f>
        <v/>
      </c>
      <c r="G24" s="9">
        <f>C24-D24-E24-F24</f>
        <v/>
      </c>
      <c r="H24" s="14">
        <f>IF(D24+E24=0,"",D24/(C24-F24))</f>
        <v/>
      </c>
      <c r="I24" s="9" t="n"/>
    </row>
    <row r="25">
      <c r="A25" s="8" t="n"/>
      <c r="B25" s="8" t="inlineStr">
        <is>
          <t>Total</t>
        </is>
      </c>
      <c r="C25" s="8">
        <f>SUM(C4:C24)</f>
        <v/>
      </c>
      <c r="D25" s="8">
        <f>SUM(D4:D24)</f>
        <v/>
      </c>
      <c r="E25" s="8">
        <f>SUM(E4:E24)</f>
        <v/>
      </c>
      <c r="F25" s="8">
        <f>SUM(F4:F24)</f>
        <v/>
      </c>
      <c r="G25" s="8">
        <f>SUM(G4:G24)</f>
        <v/>
      </c>
      <c r="H25" s="15">
        <f>IF(D25+E25=0,"",D25/(C25-F25))</f>
        <v/>
      </c>
      <c r="I25" s="8" t="n"/>
    </row>
    <row r="27">
      <c r="B27" s="2" t="inlineStr">
        <is>
          <t>Conclusion</t>
        </is>
      </c>
      <c r="C27" s="9" t="n"/>
      <c r="D27" s="16" t="n"/>
      <c r="E27" s="16" t="n"/>
      <c r="F27" s="17" t="n"/>
    </row>
    <row r="28">
      <c r="B28" s="2" t="inlineStr">
        <is>
          <t>Notes on the conclusion</t>
        </is>
      </c>
      <c r="C28" s="3" t="n"/>
    </row>
    <row r="29"/>
    <row r="30"/>
  </sheetData>
  <mergeCells count="2">
    <mergeCell ref="C27:F27"/>
    <mergeCell ref="C28:I30"/>
  </mergeCells>
  <dataValidations count="1">
    <dataValidation sqref="C27" showDropDown="0" showInputMessage="0" showErrorMessage="0" allowBlank="1" type="list">
      <formula1>"Accepted,Accepted with notes,Rejected"</formula1>
    </dataValidation>
  </dataValidations>
  <pageMargins left="0.4" right="0.4" top="0.5" bottom="0.5" header="0.5" footer="0.5"/>
  <pageSetup orientation="landscape" paperSize="9" fitToHeight="0" fitToWidth="1"/>
  <headerFooter>
    <oddHeader/>
    <oddFooter>&amp;LUAT Form MTI Radio Management · version 1.21.4&amp;RPage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1"/>
  <sheetViews>
    <sheetView workbookViewId="0">
      <selection activeCell="A1" sqref="A1"/>
    </sheetView>
  </sheetViews>
  <sheetFormatPr baseColWidth="8" defaultRowHeight="15"/>
  <cols>
    <col width="16" customWidth="1" min="1" max="1"/>
    <col width="30" customWidth="1" min="2" max="2"/>
    <col width="16" customWidth="1" min="3" max="3"/>
    <col width="30" customWidth="1" min="4" max="4"/>
    <col width="16" customWidth="1" min="5" max="5"/>
    <col width="30" customWidth="1" min="6" max="6"/>
  </cols>
  <sheetData>
    <row r="1">
      <c r="A1" s="1" t="inlineStr">
        <is>
          <t>Sign-off</t>
        </is>
      </c>
    </row>
    <row r="3" ht="48" customHeight="1">
      <c r="A3" s="3" t="inlineStr">
        <is>
          <t>By signing this page, the people below state that MTI Radio Management version 1.21.4 has been tested with the scenarios of this form, with the results recorded in the Results summary and the Findings, and the conclusion ticked there.</t>
        </is>
      </c>
    </row>
    <row r="5">
      <c r="A5" s="18" t="inlineStr">
        <is>
          <t>Tested by</t>
        </is>
      </c>
      <c r="C5" s="18" t="inlineStr">
        <is>
          <t>Reviewed by</t>
        </is>
      </c>
      <c r="E5" s="18" t="inlineStr">
        <is>
          <t>Approved by</t>
        </is>
      </c>
    </row>
    <row r="6">
      <c r="A6" t="inlineStr">
        <is>
          <t>User representative</t>
        </is>
      </c>
      <c r="C6" t="inlineStr">
        <is>
          <t>IT/ICT team</t>
        </is>
      </c>
      <c r="E6" t="inlineStr">
        <is>
          <t>Manager / process owner</t>
        </is>
      </c>
    </row>
    <row r="8">
      <c r="A8" s="2" t="inlineStr">
        <is>
          <t>Name</t>
        </is>
      </c>
      <c r="B8" s="19" t="n"/>
      <c r="C8" s="2" t="inlineStr">
        <is>
          <t>Name</t>
        </is>
      </c>
      <c r="D8" s="19" t="n"/>
      <c r="E8" s="2" t="inlineStr">
        <is>
          <t>Name</t>
        </is>
      </c>
      <c r="F8" s="19" t="n"/>
    </row>
    <row r="9">
      <c r="A9" s="2" t="inlineStr">
        <is>
          <t>Position</t>
        </is>
      </c>
      <c r="B9" s="19" t="n"/>
      <c r="C9" s="2" t="inlineStr">
        <is>
          <t>Position</t>
        </is>
      </c>
      <c r="D9" s="19" t="n"/>
      <c r="E9" s="2" t="inlineStr">
        <is>
          <t>Position</t>
        </is>
      </c>
      <c r="F9" s="19" t="n"/>
    </row>
    <row r="10">
      <c r="A10" s="2" t="inlineStr">
        <is>
          <t>Date</t>
        </is>
      </c>
      <c r="B10" s="19" t="n"/>
      <c r="C10" s="2" t="inlineStr">
        <is>
          <t>Date</t>
        </is>
      </c>
      <c r="D10" s="19" t="n"/>
      <c r="E10" s="2" t="inlineStr">
        <is>
          <t>Date</t>
        </is>
      </c>
      <c r="F10" s="19" t="n"/>
    </row>
    <row r="11" ht="60" customHeight="1">
      <c r="A11" s="2" t="inlineStr">
        <is>
          <t>Signature</t>
        </is>
      </c>
      <c r="B11" s="19" t="n"/>
      <c r="C11" s="2" t="inlineStr">
        <is>
          <t>Signature</t>
        </is>
      </c>
      <c r="D11" s="19" t="n"/>
      <c r="E11" s="2" t="inlineStr">
        <is>
          <t>Signature</t>
        </is>
      </c>
      <c r="F11" s="19" t="n"/>
    </row>
  </sheetData>
  <mergeCells count="1">
    <mergeCell ref="A3:F3"/>
  </mergeCells>
  <pageMargins left="0.4" right="0.4" top="0.5" bottom="0.5" header="0.5" footer="0.5"/>
  <pageSetup orientation="landscape" paperSize="9" fitToHeight="0" fitToWidth="1"/>
  <headerFooter>
    <oddHeader/>
    <oddFooter>&amp;LUAT Form MTI Radio Management · version 1.21.4&amp;RPage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MTI Radio Management</dc:creator>
  <dc:title xmlns:dc="http://purl.org/dc/elements/1.1/">UAT Form MTI Radio Management</dc:title>
  <dcterms:created xmlns:dcterms="http://purl.org/dc/terms/" xmlns:xsi="http://www.w3.org/2001/XMLSchema-instance" xsi:type="dcterms:W3CDTF">2026-10-21T16:09:59Z</dcterms:created>
  <dcterms:modified xmlns:dcterms="http://purl.org/dc/terms/" xmlns:xsi="http://www.w3.org/2001/XMLSchema-instance" xsi:type="dcterms:W3CDTF">2026-10-21T16:09:59Z</dcterms:modified>
</cp:coreProperties>
</file>